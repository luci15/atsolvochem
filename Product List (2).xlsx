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01" activeTab="11"/>
  </bookViews>
  <sheets>
    <sheet name="Fragrances &amp; Flavours" sheetId="6" r:id="rId1"/>
    <sheet name="Cosmetic Healthcare" sheetId="2" r:id="rId2"/>
    <sheet name="API Formulation" sheetId="3" r:id="rId3"/>
    <sheet name="Paint Resin Polym Dye" sheetId="4" r:id="rId4"/>
    <sheet name="Food &amp; Fert" sheetId="1" r:id="rId5"/>
    <sheet name="Textile Auxilary" sheetId="5" r:id="rId6"/>
    <sheet name="Maintainence" sheetId="7" r:id="rId7"/>
    <sheet name="Water" sheetId="8" r:id="rId8"/>
    <sheet name="MISC" sheetId="10" r:id="rId9"/>
    <sheet name="PVC" sheetId="11" r:id="rId10"/>
    <sheet name="Oil" sheetId="12" r:id="rId11"/>
    <sheet name="general" sheetId="13" r:id="rId12"/>
  </sheets>
  <calcPr calcId="144525"/>
</workbook>
</file>

<file path=xl/calcChain.xml><?xml version="1.0" encoding="utf-8"?>
<calcChain xmlns="http://schemas.openxmlformats.org/spreadsheetml/2006/main">
  <c r="G11" i="13" l="1"/>
  <c r="F10" i="13"/>
  <c r="F2" i="13"/>
  <c r="E3" i="13"/>
  <c r="D10" i="1" l="1"/>
</calcChain>
</file>

<file path=xl/sharedStrings.xml><?xml version="1.0" encoding="utf-8"?>
<sst xmlns="http://schemas.openxmlformats.org/spreadsheetml/2006/main" count="636" uniqueCount="467">
  <si>
    <t>Acetone</t>
  </si>
  <si>
    <t>Barrium Diloride</t>
  </si>
  <si>
    <t>Caustic Soda</t>
  </si>
  <si>
    <t>Citric Acid</t>
  </si>
  <si>
    <t>Formic Acid</t>
  </si>
  <si>
    <t>Glycerine</t>
  </si>
  <si>
    <t>Hydroquinone</t>
  </si>
  <si>
    <t>Iodine</t>
  </si>
  <si>
    <t>Chloroform</t>
  </si>
  <si>
    <t>PG</t>
  </si>
  <si>
    <t>Sorbitol</t>
  </si>
  <si>
    <t>Aersoil</t>
  </si>
  <si>
    <t>HPMC</t>
  </si>
  <si>
    <t>Hydroxyl Amine Sulphate</t>
  </si>
  <si>
    <t>Phosphoric Acid</t>
  </si>
  <si>
    <t>PVPK 30 ( Poly Vinyl Pyrrolidone K -30 )</t>
  </si>
  <si>
    <t>Lactos</t>
  </si>
  <si>
    <t>Soda Ash</t>
  </si>
  <si>
    <t>Stearic Acid</t>
  </si>
  <si>
    <t>Tri Calcium Phosphate</t>
  </si>
  <si>
    <t>Aerosil - 200</t>
  </si>
  <si>
    <t>Ammonium Bi Carbonate</t>
  </si>
  <si>
    <t>Ammonium Chloride</t>
  </si>
  <si>
    <t>Ammonium Phosphate Mono</t>
  </si>
  <si>
    <t>Acetophenone</t>
  </si>
  <si>
    <t>AOSL - 46</t>
  </si>
  <si>
    <t>Boric Acid</t>
  </si>
  <si>
    <t>Creatin Monohydrate</t>
  </si>
  <si>
    <t>Calcium Stearate</t>
  </si>
  <si>
    <t>Cellulose Acetate Phthalate</t>
  </si>
  <si>
    <t>Cetomacragol - 1000</t>
  </si>
  <si>
    <t>EDTA</t>
  </si>
  <si>
    <t>GMS</t>
  </si>
  <si>
    <t>Cetyl Alcohol</t>
  </si>
  <si>
    <t>Steryl Alcohol</t>
  </si>
  <si>
    <t>Ceto Steryl Alcohol</t>
  </si>
  <si>
    <t>Gum Accacia</t>
  </si>
  <si>
    <t>Imidiazuydinylurea</t>
  </si>
  <si>
    <t>Liquid Glucose</t>
  </si>
  <si>
    <t>Magnesium Sterate</t>
  </si>
  <si>
    <t>Maize Starch</t>
  </si>
  <si>
    <t>Methyl Salicylate</t>
  </si>
  <si>
    <t>Paraformaldehyde</t>
  </si>
  <si>
    <t>PEG 400</t>
  </si>
  <si>
    <t>SLS Powder</t>
  </si>
  <si>
    <t>Tri Ethanol Amine</t>
  </si>
  <si>
    <t>Tinogard TT</t>
  </si>
  <si>
    <t>Titanium Dioxide</t>
  </si>
  <si>
    <t>Acrylic Acid</t>
  </si>
  <si>
    <t>Cyclohexanone</t>
  </si>
  <si>
    <t>Cyclohexanol</t>
  </si>
  <si>
    <t>Di Ethyl Glycol (DEG)</t>
  </si>
  <si>
    <t>Fumaric Acid</t>
  </si>
  <si>
    <t>ISO Propyl Alcohol (IPA)</t>
  </si>
  <si>
    <t>Bisphenol - A</t>
  </si>
  <si>
    <t>Meleic Anhydride</t>
  </si>
  <si>
    <t>Methyl Acrylate</t>
  </si>
  <si>
    <t>Methyl Metha Acrylate</t>
  </si>
  <si>
    <t xml:space="preserve">PEG 400 </t>
  </si>
  <si>
    <t>Anhydrous Sodium Sulphate</t>
  </si>
  <si>
    <t>Calcium Chloride</t>
  </si>
  <si>
    <t>Calcium Gluconate</t>
  </si>
  <si>
    <t>Saccharin</t>
  </si>
  <si>
    <t>Liq Glucose</t>
  </si>
  <si>
    <t>Vitamins</t>
  </si>
  <si>
    <t>Petrolium Gelly</t>
  </si>
  <si>
    <t>Tween 80</t>
  </si>
  <si>
    <t>Caustic Soda Flakes</t>
  </si>
  <si>
    <t>2,4 xylidine</t>
  </si>
  <si>
    <t>2,6, Di Chloro Para Nitro</t>
  </si>
  <si>
    <t>Aniline ( DCPNA)</t>
  </si>
  <si>
    <t>Ethyl Aceto Acetate</t>
  </si>
  <si>
    <t>Ethyl Cyno Aceate</t>
  </si>
  <si>
    <t>Morpholine</t>
  </si>
  <si>
    <t>Para Ansidine</t>
  </si>
  <si>
    <t>Resorcinol</t>
  </si>
  <si>
    <t>DFT</t>
  </si>
  <si>
    <t xml:space="preserve">Carrier </t>
  </si>
  <si>
    <t>Acrylamide</t>
  </si>
  <si>
    <t>Nonyl Phenol</t>
  </si>
  <si>
    <t>Tri Ethylene Tetra Amine( TETA )</t>
  </si>
  <si>
    <t>Di  Ethylene Tetra Amine( DETA )</t>
  </si>
  <si>
    <t>N-Amino Ethyl Piperazine</t>
  </si>
  <si>
    <t>Acetic Acid</t>
  </si>
  <si>
    <t>Caustic Potash</t>
  </si>
  <si>
    <t>Tri Ethyl Amine</t>
  </si>
  <si>
    <t>DCDA</t>
  </si>
  <si>
    <t>Ethyl Acrylate Monomer</t>
  </si>
  <si>
    <t>Ethylene Di Amine ( EDA)</t>
  </si>
  <si>
    <t>Hydroge Peraoxide( HP)</t>
  </si>
  <si>
    <t>Hyflo Super Cel</t>
  </si>
  <si>
    <t>Meliec Anhydride</t>
  </si>
  <si>
    <t>Oxalic Acid</t>
  </si>
  <si>
    <t>Sodium Meta Bi Sulphite ( SMBS)</t>
  </si>
  <si>
    <t>Thio Urea</t>
  </si>
  <si>
    <t>Alum</t>
  </si>
  <si>
    <t>Acrylonitrile</t>
  </si>
  <si>
    <t>Benzoic Acid</t>
  </si>
  <si>
    <t>Benzyl Chloride</t>
  </si>
  <si>
    <t>Di Methyl Sulphate (DMS)</t>
  </si>
  <si>
    <t>Di Propylene Glycol ( DPG)</t>
  </si>
  <si>
    <t>Di Ethyl Melonate</t>
  </si>
  <si>
    <t>Di Octyl Adipate</t>
  </si>
  <si>
    <t>Para Toluene Sulfonic Acid ( PTSA)</t>
  </si>
  <si>
    <t>Propionic Acid</t>
  </si>
  <si>
    <t>Styrene Oxide</t>
  </si>
  <si>
    <t>Di Phenyle Oxide</t>
  </si>
  <si>
    <t>Alpha Campholenic Oxide</t>
  </si>
  <si>
    <t>Phenyl Ethyl Acetaldehyde</t>
  </si>
  <si>
    <t>Phenyl Ethyl Formate</t>
  </si>
  <si>
    <t>Phenyl Ethyl Propionate</t>
  </si>
  <si>
    <t>Phenyl Ethyl Acetate</t>
  </si>
  <si>
    <t>Defoamer</t>
  </si>
  <si>
    <t>Sodium Hypo Chlorite</t>
  </si>
  <si>
    <t>Sodium Silicate</t>
  </si>
  <si>
    <t>HCL</t>
  </si>
  <si>
    <t>Nitric Acid</t>
  </si>
  <si>
    <t>Sulphuric Acid</t>
  </si>
  <si>
    <t>Liquid Soap</t>
  </si>
  <si>
    <t>Desizex</t>
  </si>
  <si>
    <t>Activated Carbon</t>
  </si>
  <si>
    <t>NIL Powder</t>
  </si>
  <si>
    <t>Vaccum Salt</t>
  </si>
  <si>
    <t>Sulphamic Acid</t>
  </si>
  <si>
    <t>Mono Ethylene Gylcol (MEG)</t>
  </si>
  <si>
    <t>HEDP</t>
  </si>
  <si>
    <t>Tri Sodium Phosphate</t>
  </si>
  <si>
    <t>Di Sodium Phosphate</t>
  </si>
  <si>
    <t>Butyl Acetate</t>
  </si>
  <si>
    <t>Cyclo Hexane</t>
  </si>
  <si>
    <t>Di Ethyl Amine</t>
  </si>
  <si>
    <t>Di N Butyl Amine</t>
  </si>
  <si>
    <t>DMA 40%</t>
  </si>
  <si>
    <t>DMAC</t>
  </si>
  <si>
    <t>HMDA</t>
  </si>
  <si>
    <t>Epichlorohydrine</t>
  </si>
  <si>
    <t>Ethyl Acetate</t>
  </si>
  <si>
    <t>EDC</t>
  </si>
  <si>
    <t>2 Ethyl Hexanol</t>
  </si>
  <si>
    <t>Ferrus Sulphate</t>
  </si>
  <si>
    <t>Hexane</t>
  </si>
  <si>
    <t>Melamine</t>
  </si>
  <si>
    <t>Methanol</t>
  </si>
  <si>
    <t>Othoxylene</t>
  </si>
  <si>
    <t>Perchloro Ethylene</t>
  </si>
  <si>
    <t>Phenol</t>
  </si>
  <si>
    <t>Potassium Carbonate</t>
  </si>
  <si>
    <t>Potassium Permangnate</t>
  </si>
  <si>
    <t>Sodium Bi Sulphate</t>
  </si>
  <si>
    <t>Sodium Bi Sulphite</t>
  </si>
  <si>
    <t>Sodium Chlorite 50 %</t>
  </si>
  <si>
    <t>Sodium Dichromate</t>
  </si>
  <si>
    <t>Sodium Hexa Meta Phosphate</t>
  </si>
  <si>
    <t>Sodium Hydro Sulphate</t>
  </si>
  <si>
    <t>Styrene</t>
  </si>
  <si>
    <t>Tertiary Butyl Amine</t>
  </si>
  <si>
    <t>Zinc Chloride</t>
  </si>
  <si>
    <t>Zinc Oxide</t>
  </si>
  <si>
    <t>Di Acetone</t>
  </si>
  <si>
    <t>Di Methyl Carbonate</t>
  </si>
  <si>
    <t>Trichoro Ethylene</t>
  </si>
  <si>
    <t>Benzene Sulfonyl Chloride</t>
  </si>
  <si>
    <t>Cresyl Glycidyl Ether</t>
  </si>
  <si>
    <t>Cyanaric Chloride</t>
  </si>
  <si>
    <t>Cyano Acetamide</t>
  </si>
  <si>
    <t>Dichloro Hexyl Carbodiimide (DCC)</t>
  </si>
  <si>
    <t>Gamma Amino Butyric Acid (GABA)</t>
  </si>
  <si>
    <t>Imidazole</t>
  </si>
  <si>
    <t>M.P.Diol</t>
  </si>
  <si>
    <t>Malonic Acid</t>
  </si>
  <si>
    <t>Malononitrile</t>
  </si>
  <si>
    <t>Piperazine 68%</t>
  </si>
  <si>
    <t>Piperidine</t>
  </si>
  <si>
    <t>N Butraldehyde</t>
  </si>
  <si>
    <t xml:space="preserve">Para Octrl Phenol </t>
  </si>
  <si>
    <t>Pyridine</t>
  </si>
  <si>
    <t>Quate 68</t>
  </si>
  <si>
    <t>Tri Methyl Ortho Formate</t>
  </si>
  <si>
    <t>Ethyl Chloro Formate</t>
  </si>
  <si>
    <t>DBM</t>
  </si>
  <si>
    <t>DEP</t>
  </si>
  <si>
    <t>CPW</t>
  </si>
  <si>
    <t>Paraffin Wax</t>
  </si>
  <si>
    <t>Bisphenol -A</t>
  </si>
  <si>
    <t>Carbone Black</t>
  </si>
  <si>
    <t>Dalchini Oil</t>
  </si>
  <si>
    <t>Eucalyptus Oil</t>
  </si>
  <si>
    <t>Coca Powder</t>
  </si>
  <si>
    <t>Camphor</t>
  </si>
  <si>
    <t>Cross Carmellose</t>
  </si>
  <si>
    <t>Acetonitrile</t>
  </si>
  <si>
    <t>Anhydrous Sodium  Sulphate</t>
  </si>
  <si>
    <t>Benzene</t>
  </si>
  <si>
    <t>Bisphenyl</t>
  </si>
  <si>
    <t>Liquor Ammonia</t>
  </si>
  <si>
    <t>Cyclo Hexyl Amine</t>
  </si>
  <si>
    <t xml:space="preserve">ISO Butanol </t>
  </si>
  <si>
    <t>ISO Butyl Acetate</t>
  </si>
  <si>
    <t>Sodium Metal</t>
  </si>
  <si>
    <t>Ammonium Per Sulphate</t>
  </si>
  <si>
    <t>Di Calcium Phosphate</t>
  </si>
  <si>
    <t>Soya Lecithene</t>
  </si>
  <si>
    <t>Propylene Glycol</t>
  </si>
  <si>
    <t>Para Toluene Sulfonic Acid</t>
  </si>
  <si>
    <t>Light Liquid Paraffin</t>
  </si>
  <si>
    <t>Di ISO Propyl Ether</t>
  </si>
  <si>
    <t>Tartaric Acid</t>
  </si>
  <si>
    <t>Para Formaldehyde</t>
  </si>
  <si>
    <t>Soda ASH</t>
  </si>
  <si>
    <t>Sodium Bi Carbonate</t>
  </si>
  <si>
    <t>Copper Carbonate</t>
  </si>
  <si>
    <t>Di Methyl Formamide</t>
  </si>
  <si>
    <t>Di Methyl Sulphoxide</t>
  </si>
  <si>
    <t>Sodium Methoxide</t>
  </si>
  <si>
    <t>Methyl Iso Butyl Ketone (MIBK)</t>
  </si>
  <si>
    <t>Mono Chloro Benzene (MCB)</t>
  </si>
  <si>
    <t>Mix Xylene</t>
  </si>
  <si>
    <t>Normal Butanol (NBA)</t>
  </si>
  <si>
    <t>Mono Ethylene Glycol (MEG)</t>
  </si>
  <si>
    <t>Potassium Nitrate</t>
  </si>
  <si>
    <t>Sodium Meta Bi Sulphite (SMBS)</t>
  </si>
  <si>
    <t>Sodium Thio Suphate</t>
  </si>
  <si>
    <t>Tertiary Butanol (TBA)</t>
  </si>
  <si>
    <t>Vinyl Acetate Monomer</t>
  </si>
  <si>
    <t>Cyclo Hexanone</t>
  </si>
  <si>
    <t>Light Magnesium Oxide</t>
  </si>
  <si>
    <t>Methylene Chloride</t>
  </si>
  <si>
    <t>Methyl Ethyl Ketone(MEK)</t>
  </si>
  <si>
    <t>TetraHydroFuran(THF)</t>
  </si>
  <si>
    <t>Butyl Acrylate Monomer (BAM)</t>
  </si>
  <si>
    <t>Carbon Black</t>
  </si>
  <si>
    <t>Ethylene Di Amine (EDA)</t>
  </si>
  <si>
    <t>Phthalic Anhydride</t>
  </si>
  <si>
    <t>MethAcrylic Acid (MAA)</t>
  </si>
  <si>
    <t>Iso Propyl Alcohol</t>
  </si>
  <si>
    <t>Butyl Acrylate Monomer</t>
  </si>
  <si>
    <t>Vinyl Acrylate monomer</t>
  </si>
  <si>
    <t>2 Ethyl Hexonic Acid</t>
  </si>
  <si>
    <t>Chemicals For Fragrances &amp; Flavours.</t>
  </si>
  <si>
    <t xml:space="preserve">Acetone                                 </t>
  </si>
  <si>
    <t xml:space="preserve">Alum Lumps(White)                       </t>
  </si>
  <si>
    <t>Aluminium Chloride</t>
  </si>
  <si>
    <t xml:space="preserve">Anhydrous Sodium Sulphate               </t>
  </si>
  <si>
    <t xml:space="preserve">AOSL-46                                 </t>
  </si>
  <si>
    <t>Benzaldehyde</t>
  </si>
  <si>
    <t>Benzyl Alcohol</t>
  </si>
  <si>
    <t>BHT</t>
  </si>
  <si>
    <t xml:space="preserve">BORIC ACID POWDER                       </t>
  </si>
  <si>
    <t xml:space="preserve">Calcium Chloride Anhydrous              </t>
  </si>
  <si>
    <t>Calcium Chloride Fuse Lump 80%</t>
  </si>
  <si>
    <t>Caproic Acid</t>
  </si>
  <si>
    <t>Cyclo Pentanone</t>
  </si>
  <si>
    <t>Di Ethyl Sulphate</t>
  </si>
  <si>
    <t>EDC / Ethylene Dichloride</t>
  </si>
  <si>
    <t xml:space="preserve">Ethyl Acetate                           </t>
  </si>
  <si>
    <t>Ferric Alum Powder                      </t>
  </si>
  <si>
    <t>Formaldehyde solution</t>
  </si>
  <si>
    <t>Glycerine                               </t>
  </si>
  <si>
    <t>Iso Amyl Alcohol                        </t>
  </si>
  <si>
    <t>Isoprenol</t>
  </si>
  <si>
    <t xml:space="preserve">Methyl Chloro Acetate                   </t>
  </si>
  <si>
    <t xml:space="preserve">Methylene Chloride                      </t>
  </si>
  <si>
    <t xml:space="preserve">Mintroleum PE 60-80                     </t>
  </si>
  <si>
    <t xml:space="preserve">Mono Ethylene Glycol                    </t>
  </si>
  <si>
    <t xml:space="preserve">Normal.Butanol                          </t>
  </si>
  <si>
    <t>Paracresol</t>
  </si>
  <si>
    <t>Paraformaldehyde 96 %                   </t>
  </si>
  <si>
    <t>Phenyl Acetic Acid</t>
  </si>
  <si>
    <t xml:space="preserve">Potassium Bi Sulphate                   </t>
  </si>
  <si>
    <t>Propionaldehyde</t>
  </si>
  <si>
    <t>Propionyl Chloride</t>
  </si>
  <si>
    <t>Salicylic Acid</t>
  </si>
  <si>
    <t xml:space="preserve">Sodium Meta Bi Sulphite                 </t>
  </si>
  <si>
    <t>Sodium Methoxide                        </t>
  </si>
  <si>
    <t xml:space="preserve">Sulpher Powder                          </t>
  </si>
  <si>
    <t xml:space="preserve">Technical Grade Urea                    </t>
  </si>
  <si>
    <t>Toluene</t>
  </si>
  <si>
    <t>Zinc Chloride Anhydrous                 </t>
  </si>
  <si>
    <t>Phenyl Ethyl Methyl Ethyl Ether</t>
  </si>
  <si>
    <t>Dimethyl Sulphate (DMS)</t>
  </si>
  <si>
    <t>Butyl Carbitol</t>
  </si>
  <si>
    <t>Hydrochloric Acid (HCL)</t>
  </si>
  <si>
    <t>Iso Amyl Bromide</t>
  </si>
  <si>
    <t>Iso Nonyl Alcohol</t>
  </si>
  <si>
    <t>N Butyric Acid</t>
  </si>
  <si>
    <t>Tri Ethanol amine</t>
  </si>
  <si>
    <t>Chemicals For Maintainace of Plant &amp; Machines.</t>
  </si>
  <si>
    <t>Softner</t>
  </si>
  <si>
    <t>Iso Propyl Myristate</t>
  </si>
  <si>
    <t>Calcium hydroxide</t>
  </si>
  <si>
    <t>Ortho Toludine</t>
  </si>
  <si>
    <t>Ortho Di Chloro Benzene</t>
  </si>
  <si>
    <t>Mono Iso Propylamine 99.5% (MIPA)</t>
  </si>
  <si>
    <t>N-Methyl Piperazine (NMP)</t>
  </si>
  <si>
    <t xml:space="preserve">ALPHOX 200(Ethoxylate)                  </t>
  </si>
  <si>
    <t xml:space="preserve">Ammonium Bi Floride                     </t>
  </si>
  <si>
    <t>Dye Fixing</t>
  </si>
  <si>
    <t xml:space="preserve">Hydrazine Hydrate                       </t>
  </si>
  <si>
    <t xml:space="preserve">Ketonic Resin                           </t>
  </si>
  <si>
    <t>Chemicals For Textile Auxilaries , Monomers &amp; Adhesives</t>
  </si>
  <si>
    <t>Calcium Oxide</t>
  </si>
  <si>
    <t>Chlorine</t>
  </si>
  <si>
    <t>Ferric Chloride</t>
  </si>
  <si>
    <t>Hydrogen Peroxide</t>
  </si>
  <si>
    <t>Calcium Hypochlorite</t>
  </si>
  <si>
    <t>Hydrofluorsilicic Acid</t>
  </si>
  <si>
    <t>Potassium Permanganate</t>
  </si>
  <si>
    <t>Sodium Bicarbonate</t>
  </si>
  <si>
    <t>Sodium Carbonate</t>
  </si>
  <si>
    <t>Sodium Fluoride</t>
  </si>
  <si>
    <t>Sodium Fluorosilicate</t>
  </si>
  <si>
    <t>Sodium Hydroxide</t>
  </si>
  <si>
    <t>Sodium Hypochlorite</t>
  </si>
  <si>
    <t>Zinc Ortho-phosphate</t>
  </si>
  <si>
    <t>Sodium Hexameta Phosphate</t>
  </si>
  <si>
    <t>Sodium Chloride</t>
  </si>
  <si>
    <t>Ammonia (Ammonium Hydroxide)</t>
  </si>
  <si>
    <t>Aluminium Sulphate</t>
  </si>
  <si>
    <t>Ammonium Sulphate</t>
  </si>
  <si>
    <t>Copper Sulfate</t>
  </si>
  <si>
    <t>Ferric Sulphate</t>
  </si>
  <si>
    <t>Poly Aluminium Chloride</t>
  </si>
  <si>
    <t>Hydrocarnon Wax</t>
  </si>
  <si>
    <t>DI Octyl Adipate</t>
  </si>
  <si>
    <t>Di Octyl Phthalate</t>
  </si>
  <si>
    <t>DI Iso Nonyl Phthalate</t>
  </si>
  <si>
    <t>DI Octyl Tere Phthalate (DOTP)</t>
  </si>
  <si>
    <t>PVC Stabilizer (ONE PACK)</t>
  </si>
  <si>
    <t>Adipic Acid</t>
  </si>
  <si>
    <t>Castor Oil</t>
  </si>
  <si>
    <t>Ajowan Oil</t>
  </si>
  <si>
    <t>Basil Oil</t>
  </si>
  <si>
    <t>Black Pepper Oil</t>
  </si>
  <si>
    <t>Cajuput Oil</t>
  </si>
  <si>
    <t>Calamus Oil</t>
  </si>
  <si>
    <t>Capsicum Oleoresin</t>
  </si>
  <si>
    <t>Carrot Seed Oil</t>
  </si>
  <si>
    <t>Cassia Oil</t>
  </si>
  <si>
    <t>Clove Oil</t>
  </si>
  <si>
    <t>Coriander Oil</t>
  </si>
  <si>
    <t>Cypress Oil</t>
  </si>
  <si>
    <t>D-Carvon 99%</t>
  </si>
  <si>
    <t>Garlic Oil</t>
  </si>
  <si>
    <t>Ginger Oil</t>
  </si>
  <si>
    <t>Jasmine ABS</t>
  </si>
  <si>
    <t>Khus (Ruh)</t>
  </si>
  <si>
    <t>Lavender Oil</t>
  </si>
  <si>
    <t>Lemon Oil</t>
  </si>
  <si>
    <t>Lime Oil</t>
  </si>
  <si>
    <t>Neem Oil</t>
  </si>
  <si>
    <t>Nutmeg Oil</t>
  </si>
  <si>
    <t>Orange Oil, Sweet</t>
  </si>
  <si>
    <t>Pine Oil</t>
  </si>
  <si>
    <t>Rose Essential Oil</t>
  </si>
  <si>
    <t>Rose, Absolute</t>
  </si>
  <si>
    <t>Rosemary Oil</t>
  </si>
  <si>
    <t>Seasme Seed Oil</t>
  </si>
  <si>
    <t>Tea-Tree Oil</t>
  </si>
  <si>
    <t>Vetiver Oil-I</t>
  </si>
  <si>
    <t>Essential OILS</t>
  </si>
  <si>
    <t>Hydrogen Peraoxide( HP)</t>
  </si>
  <si>
    <t>ALUM</t>
  </si>
  <si>
    <t>EDTA di Sodium</t>
  </si>
  <si>
    <t>Ortho Di Chloro Benzene (ODCB)</t>
  </si>
  <si>
    <t>EMULSIFIRE 4.5</t>
  </si>
  <si>
    <t>Ortho Xylene</t>
  </si>
  <si>
    <t>O-Toluidine Pure</t>
  </si>
  <si>
    <t>Polysorbate 80</t>
  </si>
  <si>
    <t>Ethylene Di Amine(EDA)</t>
  </si>
  <si>
    <t>Para Octyl Phenol</t>
  </si>
  <si>
    <t>Ethylene Di-Clhloride (EDC)</t>
  </si>
  <si>
    <t>Aerosil 200</t>
  </si>
  <si>
    <t>Eucalypptus Oil</t>
  </si>
  <si>
    <t>Ferrous Sulphate</t>
  </si>
  <si>
    <t>Propionic Anhydride</t>
  </si>
  <si>
    <t xml:space="preserve">Formic Acid </t>
  </si>
  <si>
    <t>Para Chloro Benzene</t>
  </si>
  <si>
    <t>PEG-400</t>
  </si>
  <si>
    <t>Ammonium Persulphate</t>
  </si>
  <si>
    <t>G.M.S</t>
  </si>
  <si>
    <t>Perchloroethylene</t>
  </si>
  <si>
    <t>Acetonphenone</t>
  </si>
  <si>
    <t>Polyvinyl Pyrrolidone K-30</t>
  </si>
  <si>
    <t>AOSL 46</t>
  </si>
  <si>
    <t>H E D P</t>
  </si>
  <si>
    <t>BARIUM CHLORIDE</t>
  </si>
  <si>
    <t>Potassium Carbonate (Powder)</t>
  </si>
  <si>
    <t>HPMC E15</t>
  </si>
  <si>
    <t>Hydrazine Hydrate</t>
  </si>
  <si>
    <t>Potassium Permangante</t>
  </si>
  <si>
    <t>Benzoyl Chloride</t>
  </si>
  <si>
    <t>Hydroxyl  Amine Sulphate (HAS)</t>
  </si>
  <si>
    <t>Propional Dehyde</t>
  </si>
  <si>
    <t>Insoluble Saccharin</t>
  </si>
  <si>
    <t>Soda Ash Light</t>
  </si>
  <si>
    <t>Iso Butanol</t>
  </si>
  <si>
    <t>Iso Butyl Acetate</t>
  </si>
  <si>
    <t>Sodium chlorite 50%</t>
  </si>
  <si>
    <t>ISO Butyric Acid</t>
  </si>
  <si>
    <t>Sodium Hexa Metha Phoshate</t>
  </si>
  <si>
    <t>Sodium Hydro Sulphite</t>
  </si>
  <si>
    <t>Lactic Acid</t>
  </si>
  <si>
    <t>Sodium Meta Bi Sulphite</t>
  </si>
  <si>
    <t>Caustic Soda Flakes / Pallets</t>
  </si>
  <si>
    <t xml:space="preserve">Cellulose Acetate Phthalate </t>
  </si>
  <si>
    <t>Cetomacragol-1000</t>
  </si>
  <si>
    <t>Sodium Thio Sulphate</t>
  </si>
  <si>
    <t>Manganese Carbonate</t>
  </si>
  <si>
    <t>Sorbitol 70%</t>
  </si>
  <si>
    <t>Copper Sulphate</t>
  </si>
  <si>
    <t>Styrene Monomer</t>
  </si>
  <si>
    <t>Cyclohexane</t>
  </si>
  <si>
    <t>Meleate Plasticizer-DBM(N)</t>
  </si>
  <si>
    <t>Sulfopon LMP-95 (SLS Powder)</t>
  </si>
  <si>
    <t>Methacrylic Acid (MAA)</t>
  </si>
  <si>
    <t>Cyclohexylamine</t>
  </si>
  <si>
    <t>Tertiary Butanol</t>
  </si>
  <si>
    <t>Tertiary Butylamine</t>
  </si>
  <si>
    <t>Di Ethylene Glycol (DEG)</t>
  </si>
  <si>
    <t>Di Ethylene Tri Amine (DETA)</t>
  </si>
  <si>
    <t>Di Iso Propyl Ether (DIPE)</t>
  </si>
  <si>
    <t>Methyl Tert Butyl Ether (MTBE)</t>
  </si>
  <si>
    <t>Di Methyl Carbonate (DMC)</t>
  </si>
  <si>
    <t>Methylene Chloride (MDC)</t>
  </si>
  <si>
    <t>Di Methyl Formamide (DMF)</t>
  </si>
  <si>
    <t>Mintroleum PE 60-80</t>
  </si>
  <si>
    <t>Di Methyl Sulfoxide (DMSO)</t>
  </si>
  <si>
    <t>MIx Xylene</t>
  </si>
  <si>
    <t>Tri Ethanolamine</t>
  </si>
  <si>
    <t>Di N Butylamine</t>
  </si>
  <si>
    <t>Di Propylene Glycol (DPG)</t>
  </si>
  <si>
    <t>Mono Iso Propyl Amine (MIPA)</t>
  </si>
  <si>
    <t>Di-Acetone</t>
  </si>
  <si>
    <t>Trichloroethylene</t>
  </si>
  <si>
    <t>Dicyan Diamide (DCDA)</t>
  </si>
  <si>
    <t>N Butyraldehyde</t>
  </si>
  <si>
    <t>Vacum Salt</t>
  </si>
  <si>
    <t>Dimethylamine 40% (DMA 40%)</t>
  </si>
  <si>
    <t>N.Hexene</t>
  </si>
  <si>
    <t>Na-Methylate Crystals</t>
  </si>
  <si>
    <t>Dytex Hexa Methylene Di Amine(HMDA)</t>
  </si>
  <si>
    <t>N-Methyl-2-Pyrollidon (NMP)</t>
  </si>
  <si>
    <t>1,3 Dihydroxy Benzene (Resorcinol)</t>
  </si>
  <si>
    <t>1.3-DCB</t>
  </si>
  <si>
    <t>TINOGARD TT</t>
  </si>
  <si>
    <t>2-Pyrrolidone</t>
  </si>
  <si>
    <t>Chemicals For Cosmetic &amp; Healthcare, Aresol Ind.</t>
  </si>
  <si>
    <t>Chemicals for API , Formulation &amp; speciality chemical IND.</t>
  </si>
  <si>
    <t>Chemicals For Paints,Polymers,Resins &amp; Dyestuff IND</t>
  </si>
  <si>
    <t>Chemicals For Food &amp; Fertilizer IND</t>
  </si>
  <si>
    <t>Chemicals For Water Treatment IND</t>
  </si>
  <si>
    <t>Miscellaneous Chemicals</t>
  </si>
  <si>
    <t>Chemicals For PVC &amp; Rubber Ind.</t>
  </si>
  <si>
    <t>General Imported &amp; Indian Product List</t>
  </si>
  <si>
    <t>Cross Carmelose</t>
  </si>
  <si>
    <t>Cyclo Hexanol</t>
  </si>
  <si>
    <t xml:space="preserve">Ginol 16-18 </t>
  </si>
  <si>
    <t>Alcohol C-9</t>
  </si>
  <si>
    <t>2 Ethyl Hexanoic Acid (Octoic Acid)</t>
  </si>
  <si>
    <t>2 Ethyl Hexanol (Octanol)</t>
  </si>
  <si>
    <t>Tetrahydrofuran (THF)</t>
  </si>
  <si>
    <t>Iso Butyric Acid</t>
  </si>
  <si>
    <t>Iso Propyl Alcohol (IPA)</t>
  </si>
  <si>
    <t>Iso Butyl Acid</t>
  </si>
  <si>
    <t>Hydrogen Peroxide ( HP)</t>
  </si>
  <si>
    <t>Hydrogen Peroxide( HP)</t>
  </si>
  <si>
    <t>Common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</si>
</sst>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i/>
      <u val="double"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 val="double"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6" borderId="0" xfId="0" applyFill="1"/>
    <xf numFmtId="0" fontId="6" fillId="0" borderId="5" xfId="0" quotePrefix="1" applyFont="1" applyBorder="1" applyAlignment="1">
      <alignment horizontal="left"/>
    </xf>
    <xf numFmtId="0" fontId="2" fillId="3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left" vertical="center"/>
    </xf>
    <xf numFmtId="0" fontId="2" fillId="4" borderId="5" xfId="0" quotePrefix="1" applyFont="1" applyFill="1" applyBorder="1" applyAlignment="1">
      <alignment horizontal="left"/>
    </xf>
    <xf numFmtId="0" fontId="7" fillId="5" borderId="0" xfId="0" quotePrefix="1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2" fillId="7" borderId="0" xfId="0" applyFont="1" applyFill="1" applyBorder="1" applyAlignment="1"/>
    <xf numFmtId="0" fontId="6" fillId="0" borderId="0" xfId="0" quotePrefix="1" applyFont="1" applyBorder="1" applyAlignment="1">
      <alignment horizontal="left"/>
    </xf>
    <xf numFmtId="0" fontId="0" fillId="7" borderId="0" xfId="0" applyFill="1" applyBorder="1"/>
    <xf numFmtId="0" fontId="2" fillId="10" borderId="0" xfId="0" applyFont="1" applyFill="1" applyBorder="1" applyAlignment="1"/>
    <xf numFmtId="0" fontId="0" fillId="10" borderId="0" xfId="0" applyFill="1" applyBorder="1"/>
    <xf numFmtId="0" fontId="2" fillId="11" borderId="0" xfId="0" applyFont="1" applyFill="1"/>
    <xf numFmtId="0" fontId="1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top" wrapText="1"/>
    </xf>
    <xf numFmtId="0" fontId="2" fillId="4" borderId="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0" xfId="0" applyFont="1" applyFill="1" applyBorder="1" applyAlignment="1">
      <alignment vertical="center"/>
    </xf>
    <xf numFmtId="0" fontId="6" fillId="8" borderId="5" xfId="0" quotePrefix="1" applyFont="1" applyFill="1" applyBorder="1" applyAlignment="1">
      <alignment horizontal="left" vertical="center"/>
    </xf>
    <xf numFmtId="0" fontId="0" fillId="8" borderId="0" xfId="0" applyFill="1" applyBorder="1" applyAlignment="1">
      <alignment vertical="center"/>
    </xf>
    <xf numFmtId="0" fontId="10" fillId="5" borderId="0" xfId="0" applyFont="1" applyFill="1" applyBorder="1" applyAlignment="1">
      <alignment horizontal="left" vertical="center"/>
    </xf>
    <xf numFmtId="0" fontId="6" fillId="7" borderId="5" xfId="0" quotePrefix="1" applyFont="1" applyFill="1" applyBorder="1" applyAlignment="1">
      <alignment horizontal="left"/>
    </xf>
    <xf numFmtId="0" fontId="2" fillId="9" borderId="0" xfId="0" applyFont="1" applyFill="1" applyBorder="1" applyAlignment="1"/>
    <xf numFmtId="0" fontId="10" fillId="7" borderId="0" xfId="0" applyFont="1" applyFill="1" applyBorder="1" applyAlignment="1">
      <alignment vertical="top"/>
    </xf>
    <xf numFmtId="0" fontId="10" fillId="9" borderId="0" xfId="0" applyFont="1" applyFill="1" applyBorder="1" applyAlignment="1"/>
    <xf numFmtId="0" fontId="8" fillId="9" borderId="0" xfId="0" applyFont="1" applyFill="1" applyBorder="1" applyAlignment="1">
      <alignment horizontal="center" vertical="center"/>
    </xf>
    <xf numFmtId="0" fontId="9" fillId="9" borderId="0" xfId="0" applyFont="1" applyFill="1" applyBorder="1" applyAlignment="1"/>
    <xf numFmtId="0" fontId="10" fillId="7" borderId="0" xfId="0" applyFont="1" applyFill="1" applyBorder="1" applyAlignment="1">
      <alignment horizontal="center" vertical="center"/>
    </xf>
    <xf numFmtId="0" fontId="0" fillId="0" borderId="0" xfId="0" applyFont="1" applyBorder="1"/>
    <xf numFmtId="0" fontId="10" fillId="10" borderId="0" xfId="0" applyFont="1" applyFill="1" applyBorder="1" applyAlignment="1">
      <alignment vertical="top"/>
    </xf>
    <xf numFmtId="0" fontId="11" fillId="11" borderId="0" xfId="0" applyFont="1" applyFill="1" applyAlignment="1">
      <alignment horizontal="left" vertical="top"/>
    </xf>
    <xf numFmtId="0" fontId="14" fillId="0" borderId="0" xfId="0" applyFont="1" applyAlignment="1">
      <alignment vertical="top"/>
    </xf>
    <xf numFmtId="0" fontId="2" fillId="10" borderId="0" xfId="0" applyFont="1" applyFill="1" applyBorder="1" applyAlignment="1">
      <alignment horizontal="left" vertical="top"/>
    </xf>
    <xf numFmtId="0" fontId="4" fillId="10" borderId="0" xfId="0" applyFont="1" applyFill="1" applyBorder="1" applyAlignment="1">
      <alignment horizontal="left" vertical="top" wrapText="1"/>
    </xf>
    <xf numFmtId="0" fontId="4" fillId="10" borderId="0" xfId="0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0" fontId="10" fillId="6" borderId="0" xfId="0" applyFont="1" applyFill="1" applyBorder="1" applyAlignment="1">
      <alignment vertical="center"/>
    </xf>
    <xf numFmtId="0" fontId="0" fillId="6" borderId="0" xfId="0" applyFont="1" applyFill="1" applyBorder="1"/>
    <xf numFmtId="0" fontId="0" fillId="6" borderId="0" xfId="0" applyFill="1" applyBorder="1"/>
    <xf numFmtId="0" fontId="2" fillId="12" borderId="0" xfId="0" applyFont="1" applyFill="1" applyBorder="1" applyAlignment="1">
      <alignment vertical="center"/>
    </xf>
    <xf numFmtId="0" fontId="2" fillId="12" borderId="0" xfId="0" quotePrefix="1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/>
    </xf>
    <xf numFmtId="0" fontId="2" fillId="12" borderId="0" xfId="0" quotePrefix="1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2" fillId="12" borderId="0" xfId="0" applyFont="1" applyFill="1" applyBorder="1" applyAlignment="1"/>
    <xf numFmtId="0" fontId="2" fillId="2" borderId="0" xfId="0" applyFont="1" applyFill="1" applyBorder="1" applyAlignment="1"/>
    <xf numFmtId="0" fontId="2" fillId="2" borderId="0" xfId="0" quotePrefix="1" applyFont="1" applyFill="1" applyBorder="1" applyAlignment="1"/>
    <xf numFmtId="0" fontId="2" fillId="12" borderId="0" xfId="0" applyFont="1" applyFill="1"/>
    <xf numFmtId="0" fontId="2" fillId="2" borderId="0" xfId="0" applyFont="1" applyFill="1"/>
    <xf numFmtId="0" fontId="13" fillId="12" borderId="0" xfId="0" applyFont="1" applyFill="1" applyAlignment="1">
      <alignment vertical="top" wrapText="1"/>
    </xf>
    <xf numFmtId="0" fontId="13" fillId="13" borderId="0" xfId="0" applyFont="1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0" fillId="10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top"/>
    </xf>
    <xf numFmtId="0" fontId="10" fillId="4" borderId="0" xfId="0" applyFont="1" applyFill="1" applyBorder="1" applyAlignment="1">
      <alignment horizontal="left" vertical="top"/>
    </xf>
    <xf numFmtId="0" fontId="10" fillId="3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  <color rgb="FFFFFF99"/>
      <color rgb="FFFF66CC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45"/>
  <sheetViews>
    <sheetView zoomScale="80" zoomScaleNormal="80" workbookViewId="0">
      <selection sqref="A1:B1"/>
    </sheetView>
  </sheetViews>
  <sheetFormatPr defaultRowHeight="15" x14ac:dyDescent="0.25"/>
  <cols>
    <col min="1" max="1" width="47.42578125" style="18" customWidth="1"/>
    <col min="2" max="2" width="64.7109375" style="18" customWidth="1"/>
  </cols>
  <sheetData>
    <row r="1" spans="1:2" ht="26.25" x14ac:dyDescent="0.25">
      <c r="A1" s="64" t="s">
        <v>238</v>
      </c>
      <c r="B1" s="64"/>
    </row>
    <row r="2" spans="1:2" ht="18.75" x14ac:dyDescent="0.25">
      <c r="A2" s="43" t="s">
        <v>95</v>
      </c>
      <c r="B2" s="44" t="s">
        <v>258</v>
      </c>
    </row>
    <row r="3" spans="1:2" ht="18.75" x14ac:dyDescent="0.25">
      <c r="A3" s="45" t="s">
        <v>83</v>
      </c>
      <c r="B3" s="43" t="s">
        <v>463</v>
      </c>
    </row>
    <row r="4" spans="1:2" ht="18.75" x14ac:dyDescent="0.25">
      <c r="A4" s="45" t="s">
        <v>239</v>
      </c>
      <c r="B4" s="43" t="s">
        <v>462</v>
      </c>
    </row>
    <row r="5" spans="1:2" ht="18.75" x14ac:dyDescent="0.25">
      <c r="A5" s="43" t="s">
        <v>24</v>
      </c>
      <c r="B5" s="46" t="s">
        <v>282</v>
      </c>
    </row>
    <row r="6" spans="1:2" ht="18.75" x14ac:dyDescent="0.25">
      <c r="A6" s="43" t="s">
        <v>96</v>
      </c>
      <c r="B6" s="46" t="s">
        <v>461</v>
      </c>
    </row>
    <row r="7" spans="1:2" ht="18.75" x14ac:dyDescent="0.25">
      <c r="A7" s="43" t="s">
        <v>107</v>
      </c>
      <c r="B7" s="46" t="s">
        <v>283</v>
      </c>
    </row>
    <row r="8" spans="1:2" ht="18.75" x14ac:dyDescent="0.25">
      <c r="A8" s="44" t="s">
        <v>240</v>
      </c>
      <c r="B8" s="46" t="s">
        <v>259</v>
      </c>
    </row>
    <row r="9" spans="1:2" ht="18.75" x14ac:dyDescent="0.25">
      <c r="A9" s="46" t="s">
        <v>241</v>
      </c>
      <c r="B9" s="46" t="s">
        <v>142</v>
      </c>
    </row>
    <row r="10" spans="1:2" ht="20.25" customHeight="1" x14ac:dyDescent="0.25">
      <c r="A10" s="44" t="s">
        <v>242</v>
      </c>
      <c r="B10" s="44" t="s">
        <v>260</v>
      </c>
    </row>
    <row r="11" spans="1:2" ht="18.75" x14ac:dyDescent="0.25">
      <c r="A11" s="44" t="s">
        <v>243</v>
      </c>
      <c r="B11" s="45" t="s">
        <v>261</v>
      </c>
    </row>
    <row r="12" spans="1:2" ht="18.75" x14ac:dyDescent="0.25">
      <c r="A12" s="46" t="s">
        <v>244</v>
      </c>
      <c r="B12" s="45" t="s">
        <v>262</v>
      </c>
    </row>
    <row r="13" spans="1:2" ht="18.75" x14ac:dyDescent="0.25">
      <c r="A13" s="46" t="s">
        <v>192</v>
      </c>
      <c r="B13" s="44" t="s">
        <v>263</v>
      </c>
    </row>
    <row r="14" spans="1:2" ht="18.75" x14ac:dyDescent="0.25">
      <c r="A14" s="46" t="s">
        <v>97</v>
      </c>
      <c r="B14" s="45" t="s">
        <v>284</v>
      </c>
    </row>
    <row r="15" spans="1:2" ht="18.75" x14ac:dyDescent="0.25">
      <c r="A15" s="46" t="s">
        <v>245</v>
      </c>
      <c r="B15" s="45" t="s">
        <v>264</v>
      </c>
    </row>
    <row r="16" spans="1:2" ht="18.75" x14ac:dyDescent="0.25">
      <c r="A16" s="46" t="s">
        <v>98</v>
      </c>
      <c r="B16" s="43" t="s">
        <v>103</v>
      </c>
    </row>
    <row r="17" spans="1:2" ht="18.75" x14ac:dyDescent="0.25">
      <c r="A17" s="45" t="s">
        <v>246</v>
      </c>
      <c r="B17" s="46" t="s">
        <v>265</v>
      </c>
    </row>
    <row r="18" spans="1:2" ht="18.75" x14ac:dyDescent="0.25">
      <c r="A18" s="45" t="s">
        <v>247</v>
      </c>
      <c r="B18" s="44" t="s">
        <v>266</v>
      </c>
    </row>
    <row r="19" spans="1:2" ht="18.75" x14ac:dyDescent="0.25">
      <c r="A19" s="45" t="s">
        <v>248</v>
      </c>
      <c r="B19" s="46" t="s">
        <v>145</v>
      </c>
    </row>
    <row r="20" spans="1:2" ht="18.75" x14ac:dyDescent="0.25">
      <c r="A20" s="46" t="s">
        <v>249</v>
      </c>
      <c r="B20" s="46" t="s">
        <v>267</v>
      </c>
    </row>
    <row r="21" spans="1:2" ht="18.75" x14ac:dyDescent="0.25">
      <c r="A21" s="46" t="s">
        <v>250</v>
      </c>
      <c r="B21" s="43" t="s">
        <v>108</v>
      </c>
    </row>
    <row r="22" spans="1:2" ht="18.75" x14ac:dyDescent="0.25">
      <c r="A22" s="46" t="s">
        <v>84</v>
      </c>
      <c r="B22" s="43" t="s">
        <v>111</v>
      </c>
    </row>
    <row r="23" spans="1:2" ht="18.75" x14ac:dyDescent="0.25">
      <c r="A23" s="46" t="s">
        <v>67</v>
      </c>
      <c r="B23" s="43" t="s">
        <v>109</v>
      </c>
    </row>
    <row r="24" spans="1:2" ht="18.75" x14ac:dyDescent="0.25">
      <c r="A24" s="43" t="s">
        <v>3</v>
      </c>
      <c r="B24" s="43" t="s">
        <v>278</v>
      </c>
    </row>
    <row r="25" spans="1:2" ht="18.75" x14ac:dyDescent="0.25">
      <c r="A25" s="46" t="s">
        <v>466</v>
      </c>
      <c r="B25" s="43" t="s">
        <v>110</v>
      </c>
    </row>
    <row r="26" spans="1:2" ht="18.75" x14ac:dyDescent="0.25">
      <c r="A26" s="46" t="s">
        <v>251</v>
      </c>
      <c r="B26" s="46" t="s">
        <v>14</v>
      </c>
    </row>
    <row r="27" spans="1:2" ht="18.75" x14ac:dyDescent="0.25">
      <c r="A27" s="45" t="s">
        <v>130</v>
      </c>
      <c r="B27" s="44" t="s">
        <v>268</v>
      </c>
    </row>
    <row r="28" spans="1:2" ht="18.75" x14ac:dyDescent="0.25">
      <c r="A28" s="43" t="s">
        <v>101</v>
      </c>
      <c r="B28" s="46" t="s">
        <v>146</v>
      </c>
    </row>
    <row r="29" spans="1:2" ht="18.75" x14ac:dyDescent="0.25">
      <c r="A29" s="46" t="s">
        <v>252</v>
      </c>
      <c r="B29" s="46" t="s">
        <v>269</v>
      </c>
    </row>
    <row r="30" spans="1:2" ht="18.75" x14ac:dyDescent="0.25">
      <c r="A30" s="43" t="s">
        <v>99</v>
      </c>
      <c r="B30" s="43" t="s">
        <v>104</v>
      </c>
    </row>
    <row r="31" spans="1:2" ht="18.75" x14ac:dyDescent="0.25">
      <c r="A31" s="43" t="s">
        <v>102</v>
      </c>
      <c r="B31" s="46" t="s">
        <v>270</v>
      </c>
    </row>
    <row r="32" spans="1:2" ht="18.75" x14ac:dyDescent="0.25">
      <c r="A32" s="43" t="s">
        <v>106</v>
      </c>
      <c r="B32" s="46" t="s">
        <v>175</v>
      </c>
    </row>
    <row r="33" spans="1:2" ht="18.75" x14ac:dyDescent="0.25">
      <c r="A33" s="43" t="s">
        <v>100</v>
      </c>
      <c r="B33" s="46" t="s">
        <v>271</v>
      </c>
    </row>
    <row r="34" spans="1:2" ht="18.75" x14ac:dyDescent="0.25">
      <c r="A34" s="45" t="s">
        <v>279</v>
      </c>
      <c r="B34" s="43" t="s">
        <v>17</v>
      </c>
    </row>
    <row r="35" spans="1:2" ht="18.75" x14ac:dyDescent="0.25">
      <c r="A35" s="46" t="s">
        <v>253</v>
      </c>
      <c r="B35" s="45" t="s">
        <v>272</v>
      </c>
    </row>
    <row r="36" spans="1:2" ht="18.75" x14ac:dyDescent="0.25">
      <c r="A36" s="43" t="s">
        <v>31</v>
      </c>
      <c r="B36" s="46" t="s">
        <v>198</v>
      </c>
    </row>
    <row r="37" spans="1:2" ht="18.75" x14ac:dyDescent="0.25">
      <c r="A37" s="45" t="s">
        <v>254</v>
      </c>
      <c r="B37" s="44" t="s">
        <v>273</v>
      </c>
    </row>
    <row r="38" spans="1:2" ht="18.75" x14ac:dyDescent="0.25">
      <c r="A38" s="44" t="s">
        <v>255</v>
      </c>
      <c r="B38" s="43" t="s">
        <v>105</v>
      </c>
    </row>
    <row r="39" spans="1:2" ht="18.75" x14ac:dyDescent="0.25">
      <c r="A39" s="46" t="s">
        <v>256</v>
      </c>
      <c r="B39" s="44" t="s">
        <v>274</v>
      </c>
    </row>
    <row r="40" spans="1:2" ht="18.75" x14ac:dyDescent="0.25">
      <c r="A40" s="46" t="s">
        <v>4</v>
      </c>
      <c r="B40" s="46" t="s">
        <v>117</v>
      </c>
    </row>
    <row r="41" spans="1:2" ht="18.75" x14ac:dyDescent="0.25">
      <c r="A41" s="43" t="s">
        <v>280</v>
      </c>
      <c r="B41" s="44" t="s">
        <v>275</v>
      </c>
    </row>
    <row r="42" spans="1:2" ht="18.75" x14ac:dyDescent="0.25">
      <c r="A42" s="45" t="s">
        <v>257</v>
      </c>
      <c r="B42" s="46" t="s">
        <v>276</v>
      </c>
    </row>
    <row r="43" spans="1:2" ht="18.75" x14ac:dyDescent="0.25">
      <c r="A43" s="45" t="s">
        <v>281</v>
      </c>
      <c r="B43" s="46" t="s">
        <v>285</v>
      </c>
    </row>
    <row r="44" spans="1:2" ht="18.75" x14ac:dyDescent="0.25">
      <c r="A44" s="43" t="s">
        <v>464</v>
      </c>
      <c r="B44" s="46" t="s">
        <v>85</v>
      </c>
    </row>
    <row r="45" spans="1:2" ht="18.75" x14ac:dyDescent="0.25">
      <c r="A45" s="46" t="s">
        <v>6</v>
      </c>
      <c r="B45" s="45" t="s">
        <v>277</v>
      </c>
    </row>
  </sheetData>
  <sortState ref="A3:A104">
    <sortCondition ref="A2"/>
  </sortState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47"/>
  <sheetViews>
    <sheetView workbookViewId="0">
      <selection activeCell="E21" sqref="E21"/>
    </sheetView>
  </sheetViews>
  <sheetFormatPr defaultColWidth="9.140625" defaultRowHeight="15" x14ac:dyDescent="0.25"/>
  <cols>
    <col min="1" max="1" width="44.7109375" style="30" customWidth="1"/>
    <col min="2" max="2" width="43.85546875" style="30" customWidth="1"/>
    <col min="3" max="16384" width="9.140625" style="3"/>
  </cols>
  <sheetData>
    <row r="1" spans="1:2" ht="43.5" customHeight="1" x14ac:dyDescent="0.25">
      <c r="A1" s="65" t="s">
        <v>446</v>
      </c>
      <c r="B1" s="65"/>
    </row>
    <row r="2" spans="1:2" ht="18.75" x14ac:dyDescent="0.25">
      <c r="A2" s="50" t="s">
        <v>0</v>
      </c>
      <c r="B2" s="28" t="s">
        <v>12</v>
      </c>
    </row>
    <row r="3" spans="1:2" ht="18.75" x14ac:dyDescent="0.25">
      <c r="A3" s="50" t="s">
        <v>24</v>
      </c>
      <c r="B3" s="10" t="s">
        <v>288</v>
      </c>
    </row>
    <row r="4" spans="1:2" ht="18.75" x14ac:dyDescent="0.25">
      <c r="A4" s="50" t="s">
        <v>20</v>
      </c>
      <c r="B4" s="28" t="s">
        <v>37</v>
      </c>
    </row>
    <row r="5" spans="1:2" ht="18.75" x14ac:dyDescent="0.25">
      <c r="A5" s="51" t="s">
        <v>294</v>
      </c>
      <c r="B5" s="28" t="s">
        <v>53</v>
      </c>
    </row>
    <row r="6" spans="1:2" ht="18.75" x14ac:dyDescent="0.25">
      <c r="A6" s="50" t="s">
        <v>21</v>
      </c>
      <c r="B6" s="28" t="s">
        <v>204</v>
      </c>
    </row>
    <row r="7" spans="1:2" ht="18.75" x14ac:dyDescent="0.25">
      <c r="A7" s="50" t="s">
        <v>22</v>
      </c>
      <c r="B7" s="28" t="s">
        <v>38</v>
      </c>
    </row>
    <row r="8" spans="1:2" ht="18.75" x14ac:dyDescent="0.25">
      <c r="A8" s="50" t="s">
        <v>199</v>
      </c>
      <c r="B8" s="28" t="s">
        <v>39</v>
      </c>
    </row>
    <row r="9" spans="1:2" ht="18.75" x14ac:dyDescent="0.25">
      <c r="A9" s="50" t="s">
        <v>23</v>
      </c>
      <c r="B9" s="28" t="s">
        <v>40</v>
      </c>
    </row>
    <row r="10" spans="1:2" ht="18.75" x14ac:dyDescent="0.25">
      <c r="A10" s="50" t="s">
        <v>25</v>
      </c>
      <c r="B10" s="28" t="s">
        <v>41</v>
      </c>
    </row>
    <row r="11" spans="1:2" ht="18.75" x14ac:dyDescent="0.25">
      <c r="A11" s="50" t="s">
        <v>97</v>
      </c>
      <c r="B11" s="28" t="s">
        <v>203</v>
      </c>
    </row>
    <row r="12" spans="1:2" ht="18.75" x14ac:dyDescent="0.25">
      <c r="A12" s="50" t="s">
        <v>26</v>
      </c>
      <c r="B12" s="28" t="s">
        <v>42</v>
      </c>
    </row>
    <row r="13" spans="1:2" ht="18.75" x14ac:dyDescent="0.25">
      <c r="A13" s="50" t="s">
        <v>28</v>
      </c>
      <c r="B13" s="28" t="s">
        <v>43</v>
      </c>
    </row>
    <row r="14" spans="1:2" ht="18.75" x14ac:dyDescent="0.25">
      <c r="A14" s="50" t="s">
        <v>329</v>
      </c>
      <c r="B14" s="28" t="s">
        <v>65</v>
      </c>
    </row>
    <row r="15" spans="1:2" ht="18.75" x14ac:dyDescent="0.25">
      <c r="A15" s="28" t="s">
        <v>67</v>
      </c>
      <c r="B15" s="50" t="s">
        <v>14</v>
      </c>
    </row>
    <row r="16" spans="1:2" ht="18.75" x14ac:dyDescent="0.25">
      <c r="A16" s="28" t="s">
        <v>29</v>
      </c>
      <c r="B16" s="50" t="s">
        <v>202</v>
      </c>
    </row>
    <row r="17" spans="1:2" ht="18.75" x14ac:dyDescent="0.25">
      <c r="A17" s="28" t="s">
        <v>35</v>
      </c>
      <c r="B17" s="50" t="s">
        <v>44</v>
      </c>
    </row>
    <row r="18" spans="1:2" ht="18.75" x14ac:dyDescent="0.25">
      <c r="A18" s="28" t="s">
        <v>30</v>
      </c>
      <c r="B18" s="50" t="s">
        <v>213</v>
      </c>
    </row>
    <row r="19" spans="1:2" ht="18.75" x14ac:dyDescent="0.25">
      <c r="A19" s="28" t="s">
        <v>33</v>
      </c>
      <c r="B19" s="50" t="s">
        <v>10</v>
      </c>
    </row>
    <row r="20" spans="1:2" ht="18.75" x14ac:dyDescent="0.25">
      <c r="A20" s="28" t="s">
        <v>3</v>
      </c>
      <c r="B20" s="50" t="s">
        <v>201</v>
      </c>
    </row>
    <row r="21" spans="1:2" ht="18.75" x14ac:dyDescent="0.25">
      <c r="A21" s="28" t="s">
        <v>27</v>
      </c>
      <c r="B21" s="50" t="s">
        <v>18</v>
      </c>
    </row>
    <row r="22" spans="1:2" ht="18.75" x14ac:dyDescent="0.25">
      <c r="A22" s="28" t="s">
        <v>189</v>
      </c>
      <c r="B22" s="50" t="s">
        <v>34</v>
      </c>
    </row>
    <row r="23" spans="1:2" ht="18.75" x14ac:dyDescent="0.25">
      <c r="A23" s="28" t="s">
        <v>200</v>
      </c>
      <c r="B23" s="50" t="s">
        <v>46</v>
      </c>
    </row>
    <row r="24" spans="1:2" ht="18.75" x14ac:dyDescent="0.25">
      <c r="A24" s="28" t="s">
        <v>31</v>
      </c>
      <c r="B24" s="50" t="s">
        <v>47</v>
      </c>
    </row>
    <row r="25" spans="1:2" ht="18.75" x14ac:dyDescent="0.25">
      <c r="A25" s="28" t="s">
        <v>5</v>
      </c>
      <c r="B25" s="50" t="s">
        <v>19</v>
      </c>
    </row>
    <row r="26" spans="1:2" ht="18.75" x14ac:dyDescent="0.25">
      <c r="A26" s="28" t="s">
        <v>32</v>
      </c>
      <c r="B26" s="50" t="s">
        <v>45</v>
      </c>
    </row>
    <row r="27" spans="1:2" ht="18.75" x14ac:dyDescent="0.25">
      <c r="A27" s="28" t="s">
        <v>36</v>
      </c>
      <c r="B27" s="50" t="s">
        <v>66</v>
      </c>
    </row>
    <row r="47" spans="1:1" x14ac:dyDescent="0.25">
      <c r="A47" s="29"/>
    </row>
  </sheetData>
  <sortState ref="A2:A28">
    <sortCondition ref="A2"/>
  </sortState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85"/>
  <sheetViews>
    <sheetView workbookViewId="0">
      <selection sqref="A1:B1"/>
    </sheetView>
  </sheetViews>
  <sheetFormatPr defaultRowHeight="18.75" x14ac:dyDescent="0.3"/>
  <cols>
    <col min="1" max="1" width="38.42578125" style="24" customWidth="1"/>
    <col min="2" max="2" width="57.7109375" style="24" customWidth="1"/>
    <col min="5" max="5" width="11.85546875" customWidth="1"/>
  </cols>
  <sheetData>
    <row r="1" spans="1:5" ht="33.75" customHeight="1" x14ac:dyDescent="0.25">
      <c r="A1" s="66" t="s">
        <v>447</v>
      </c>
      <c r="B1" s="66"/>
      <c r="C1" s="1"/>
      <c r="D1" s="1"/>
      <c r="E1" s="1"/>
    </row>
    <row r="2" spans="1:5" x14ac:dyDescent="0.3">
      <c r="A2" s="52" t="s">
        <v>138</v>
      </c>
      <c r="B2" s="23" t="s">
        <v>142</v>
      </c>
    </row>
    <row r="3" spans="1:5" x14ac:dyDescent="0.3">
      <c r="A3" s="52" t="s">
        <v>0</v>
      </c>
      <c r="B3" s="23" t="s">
        <v>227</v>
      </c>
    </row>
    <row r="4" spans="1:5" x14ac:dyDescent="0.3">
      <c r="A4" s="52" t="s">
        <v>190</v>
      </c>
      <c r="B4" s="23" t="s">
        <v>214</v>
      </c>
    </row>
    <row r="5" spans="1:5" x14ac:dyDescent="0.3">
      <c r="A5" s="52" t="s">
        <v>191</v>
      </c>
      <c r="B5" s="23" t="s">
        <v>216</v>
      </c>
    </row>
    <row r="6" spans="1:5" x14ac:dyDescent="0.3">
      <c r="A6" s="52" t="s">
        <v>1</v>
      </c>
      <c r="B6" s="23" t="s">
        <v>215</v>
      </c>
    </row>
    <row r="7" spans="1:5" x14ac:dyDescent="0.3">
      <c r="A7" s="52" t="s">
        <v>192</v>
      </c>
      <c r="B7" s="23" t="s">
        <v>218</v>
      </c>
    </row>
    <row r="8" spans="1:5" x14ac:dyDescent="0.3">
      <c r="A8" s="52" t="s">
        <v>128</v>
      </c>
      <c r="B8" s="23" t="s">
        <v>217</v>
      </c>
    </row>
    <row r="9" spans="1:5" x14ac:dyDescent="0.3">
      <c r="A9" s="52" t="s">
        <v>84</v>
      </c>
      <c r="B9" s="23" t="s">
        <v>143</v>
      </c>
    </row>
    <row r="10" spans="1:5" x14ac:dyDescent="0.3">
      <c r="A10" s="52" t="s">
        <v>2</v>
      </c>
      <c r="B10" s="23" t="s">
        <v>207</v>
      </c>
    </row>
    <row r="11" spans="1:5" x14ac:dyDescent="0.3">
      <c r="A11" s="52" t="s">
        <v>8</v>
      </c>
      <c r="B11" s="23" t="s">
        <v>203</v>
      </c>
    </row>
    <row r="12" spans="1:5" x14ac:dyDescent="0.3">
      <c r="A12" s="52" t="s">
        <v>3</v>
      </c>
      <c r="B12" s="23" t="s">
        <v>144</v>
      </c>
    </row>
    <row r="13" spans="1:5" x14ac:dyDescent="0.3">
      <c r="A13" s="52" t="s">
        <v>210</v>
      </c>
      <c r="B13" s="23" t="s">
        <v>145</v>
      </c>
    </row>
    <row r="14" spans="1:5" x14ac:dyDescent="0.3">
      <c r="A14" s="52" t="s">
        <v>224</v>
      </c>
      <c r="B14" s="23" t="s">
        <v>146</v>
      </c>
    </row>
    <row r="15" spans="1:5" x14ac:dyDescent="0.3">
      <c r="A15" s="52" t="s">
        <v>129</v>
      </c>
      <c r="B15" s="23" t="s">
        <v>219</v>
      </c>
    </row>
    <row r="16" spans="1:5" x14ac:dyDescent="0.3">
      <c r="A16" s="52" t="s">
        <v>158</v>
      </c>
      <c r="B16" s="23" t="s">
        <v>147</v>
      </c>
    </row>
    <row r="17" spans="1:2" x14ac:dyDescent="0.3">
      <c r="A17" s="52" t="s">
        <v>130</v>
      </c>
      <c r="B17" s="23" t="s">
        <v>202</v>
      </c>
    </row>
    <row r="18" spans="1:2" x14ac:dyDescent="0.3">
      <c r="A18" s="52" t="s">
        <v>205</v>
      </c>
      <c r="B18" s="23" t="s">
        <v>208</v>
      </c>
    </row>
    <row r="19" spans="1:2" x14ac:dyDescent="0.3">
      <c r="A19" s="52" t="s">
        <v>159</v>
      </c>
      <c r="B19" s="23" t="s">
        <v>209</v>
      </c>
    </row>
    <row r="20" spans="1:2" x14ac:dyDescent="0.3">
      <c r="A20" s="52" t="s">
        <v>211</v>
      </c>
      <c r="B20" s="23" t="s">
        <v>148</v>
      </c>
    </row>
    <row r="21" spans="1:2" x14ac:dyDescent="0.3">
      <c r="A21" s="52" t="s">
        <v>212</v>
      </c>
      <c r="B21" s="23" t="s">
        <v>149</v>
      </c>
    </row>
    <row r="22" spans="1:2" x14ac:dyDescent="0.3">
      <c r="A22" s="52" t="s">
        <v>131</v>
      </c>
      <c r="B22" s="52" t="s">
        <v>150</v>
      </c>
    </row>
    <row r="23" spans="1:2" x14ac:dyDescent="0.3">
      <c r="A23" s="54" t="s">
        <v>132</v>
      </c>
      <c r="B23" s="52" t="s">
        <v>151</v>
      </c>
    </row>
    <row r="24" spans="1:2" x14ac:dyDescent="0.3">
      <c r="A24" s="54" t="s">
        <v>133</v>
      </c>
      <c r="B24" s="52" t="s">
        <v>152</v>
      </c>
    </row>
    <row r="25" spans="1:2" x14ac:dyDescent="0.3">
      <c r="A25" s="54" t="s">
        <v>137</v>
      </c>
      <c r="B25" s="52" t="s">
        <v>153</v>
      </c>
    </row>
    <row r="26" spans="1:2" x14ac:dyDescent="0.3">
      <c r="A26" s="54" t="s">
        <v>135</v>
      </c>
      <c r="B26" s="52" t="s">
        <v>220</v>
      </c>
    </row>
    <row r="27" spans="1:2" x14ac:dyDescent="0.3">
      <c r="A27" s="54" t="s">
        <v>136</v>
      </c>
      <c r="B27" s="52" t="s">
        <v>198</v>
      </c>
    </row>
    <row r="28" spans="1:2" x14ac:dyDescent="0.3">
      <c r="A28" s="54" t="s">
        <v>71</v>
      </c>
      <c r="B28" s="52" t="s">
        <v>213</v>
      </c>
    </row>
    <row r="29" spans="1:2" x14ac:dyDescent="0.3">
      <c r="A29" s="54" t="s">
        <v>139</v>
      </c>
      <c r="B29" s="52" t="s">
        <v>221</v>
      </c>
    </row>
    <row r="30" spans="1:2" x14ac:dyDescent="0.3">
      <c r="A30" s="54" t="s">
        <v>4</v>
      </c>
      <c r="B30" s="52" t="s">
        <v>10</v>
      </c>
    </row>
    <row r="31" spans="1:2" x14ac:dyDescent="0.3">
      <c r="A31" s="54" t="s">
        <v>5</v>
      </c>
      <c r="B31" s="52" t="s">
        <v>154</v>
      </c>
    </row>
    <row r="32" spans="1:2" x14ac:dyDescent="0.3">
      <c r="A32" s="54" t="s">
        <v>140</v>
      </c>
      <c r="B32" s="52" t="s">
        <v>206</v>
      </c>
    </row>
    <row r="33" spans="1:2" x14ac:dyDescent="0.3">
      <c r="A33" s="54" t="s">
        <v>134</v>
      </c>
      <c r="B33" s="52" t="s">
        <v>222</v>
      </c>
    </row>
    <row r="34" spans="1:2" x14ac:dyDescent="0.3">
      <c r="A34" s="54" t="s">
        <v>89</v>
      </c>
      <c r="B34" s="52" t="s">
        <v>155</v>
      </c>
    </row>
    <row r="35" spans="1:2" x14ac:dyDescent="0.3">
      <c r="A35" s="54" t="s">
        <v>6</v>
      </c>
      <c r="B35" s="52" t="s">
        <v>228</v>
      </c>
    </row>
    <row r="36" spans="1:2" x14ac:dyDescent="0.3">
      <c r="A36" s="54" t="s">
        <v>7</v>
      </c>
      <c r="B36" s="52" t="s">
        <v>276</v>
      </c>
    </row>
    <row r="37" spans="1:2" x14ac:dyDescent="0.3">
      <c r="A37" s="54" t="s">
        <v>196</v>
      </c>
      <c r="B37" s="52" t="s">
        <v>85</v>
      </c>
    </row>
    <row r="38" spans="1:2" x14ac:dyDescent="0.3">
      <c r="A38" s="54" t="s">
        <v>197</v>
      </c>
      <c r="B38" s="52" t="s">
        <v>160</v>
      </c>
    </row>
    <row r="39" spans="1:2" x14ac:dyDescent="0.3">
      <c r="A39" s="54" t="s">
        <v>53</v>
      </c>
      <c r="B39" s="52" t="s">
        <v>223</v>
      </c>
    </row>
    <row r="40" spans="1:2" x14ac:dyDescent="0.3">
      <c r="A40" s="54" t="s">
        <v>225</v>
      </c>
      <c r="B40" s="52" t="s">
        <v>156</v>
      </c>
    </row>
    <row r="41" spans="1:2" x14ac:dyDescent="0.3">
      <c r="A41" s="54" t="s">
        <v>226</v>
      </c>
      <c r="B41" s="52" t="s">
        <v>157</v>
      </c>
    </row>
    <row r="42" spans="1:2" x14ac:dyDescent="0.3">
      <c r="A42" s="54" t="s">
        <v>141</v>
      </c>
      <c r="B42" s="23"/>
    </row>
    <row r="43" spans="1:2" x14ac:dyDescent="0.3">
      <c r="A43" s="55" t="s">
        <v>294</v>
      </c>
    </row>
    <row r="47" spans="1:2" x14ac:dyDescent="0.3">
      <c r="A47" s="11"/>
    </row>
    <row r="83" spans="1:1" x14ac:dyDescent="0.3">
      <c r="A83" s="25"/>
    </row>
    <row r="84" spans="1:1" x14ac:dyDescent="0.3">
      <c r="A84" s="26"/>
    </row>
    <row r="85" spans="1:1" ht="19.5" thickBot="1" x14ac:dyDescent="0.35">
      <c r="A85" s="27"/>
    </row>
  </sheetData>
  <sortState ref="A3:A86">
    <sortCondition ref="A2"/>
  </sortState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39"/>
  <sheetViews>
    <sheetView workbookViewId="0">
      <selection activeCell="C1" sqref="C1"/>
    </sheetView>
  </sheetViews>
  <sheetFormatPr defaultRowHeight="15" x14ac:dyDescent="0.25"/>
  <cols>
    <col min="1" max="1" width="87" style="13" customWidth="1"/>
  </cols>
  <sheetData>
    <row r="1" spans="1:1" ht="42" customHeight="1" x14ac:dyDescent="0.25">
      <c r="A1" s="31" t="s">
        <v>448</v>
      </c>
    </row>
    <row r="2" spans="1:1" ht="18.75" x14ac:dyDescent="0.3">
      <c r="A2" s="56" t="s">
        <v>68</v>
      </c>
    </row>
    <row r="3" spans="1:1" ht="18.75" x14ac:dyDescent="0.3">
      <c r="A3" s="56" t="s">
        <v>69</v>
      </c>
    </row>
    <row r="4" spans="1:1" ht="18.75" x14ac:dyDescent="0.3">
      <c r="A4" s="56" t="s">
        <v>0</v>
      </c>
    </row>
    <row r="5" spans="1:1" ht="18.75" x14ac:dyDescent="0.3">
      <c r="A5" s="56" t="s">
        <v>48</v>
      </c>
    </row>
    <row r="6" spans="1:1" ht="18.75" x14ac:dyDescent="0.3">
      <c r="A6" s="52" t="s">
        <v>328</v>
      </c>
    </row>
    <row r="7" spans="1:1" ht="18.75" x14ac:dyDescent="0.3">
      <c r="A7" s="56" t="s">
        <v>70</v>
      </c>
    </row>
    <row r="8" spans="1:1" ht="18.75" x14ac:dyDescent="0.3">
      <c r="A8" s="56" t="s">
        <v>54</v>
      </c>
    </row>
    <row r="9" spans="1:1" ht="18.75" x14ac:dyDescent="0.3">
      <c r="A9" s="56" t="s">
        <v>193</v>
      </c>
    </row>
    <row r="10" spans="1:1" ht="18.75" x14ac:dyDescent="0.3">
      <c r="A10" s="57" t="s">
        <v>229</v>
      </c>
    </row>
    <row r="11" spans="1:1" ht="18.75" x14ac:dyDescent="0.3">
      <c r="A11" s="57" t="s">
        <v>230</v>
      </c>
    </row>
    <row r="12" spans="1:1" ht="18.75" x14ac:dyDescent="0.3">
      <c r="A12" s="57" t="s">
        <v>77</v>
      </c>
    </row>
    <row r="13" spans="1:1" ht="18.75" x14ac:dyDescent="0.3">
      <c r="A13" s="57" t="s">
        <v>50</v>
      </c>
    </row>
    <row r="14" spans="1:1" ht="18.75" x14ac:dyDescent="0.3">
      <c r="A14" s="57" t="s">
        <v>49</v>
      </c>
    </row>
    <row r="15" spans="1:1" ht="18.75" x14ac:dyDescent="0.3">
      <c r="A15" s="57" t="s">
        <v>76</v>
      </c>
    </row>
    <row r="16" spans="1:1" ht="18.75" x14ac:dyDescent="0.3">
      <c r="A16" s="57" t="s">
        <v>51</v>
      </c>
    </row>
    <row r="17" spans="1:1" ht="18.75" x14ac:dyDescent="0.3">
      <c r="A17" s="57" t="s">
        <v>296</v>
      </c>
    </row>
    <row r="18" spans="1:1" ht="18.75" x14ac:dyDescent="0.3">
      <c r="A18" s="57" t="s">
        <v>71</v>
      </c>
    </row>
    <row r="19" spans="1:1" ht="18.75" x14ac:dyDescent="0.3">
      <c r="A19" s="56" t="s">
        <v>72</v>
      </c>
    </row>
    <row r="20" spans="1:1" ht="18.75" x14ac:dyDescent="0.3">
      <c r="A20" s="56" t="s">
        <v>231</v>
      </c>
    </row>
    <row r="21" spans="1:1" ht="18.75" x14ac:dyDescent="0.3">
      <c r="A21" s="56" t="s">
        <v>52</v>
      </c>
    </row>
    <row r="22" spans="1:1" ht="18.75" x14ac:dyDescent="0.3">
      <c r="A22" s="56" t="s">
        <v>53</v>
      </c>
    </row>
    <row r="23" spans="1:1" ht="18.75" x14ac:dyDescent="0.3">
      <c r="A23" s="53" t="s">
        <v>298</v>
      </c>
    </row>
    <row r="24" spans="1:1" ht="18.75" x14ac:dyDescent="0.3">
      <c r="A24" s="56" t="s">
        <v>55</v>
      </c>
    </row>
    <row r="25" spans="1:1" ht="18.75" x14ac:dyDescent="0.3">
      <c r="A25" s="56" t="s">
        <v>233</v>
      </c>
    </row>
    <row r="26" spans="1:1" ht="18.75" x14ac:dyDescent="0.3">
      <c r="A26" s="56" t="s">
        <v>56</v>
      </c>
    </row>
    <row r="27" spans="1:1" ht="18.75" x14ac:dyDescent="0.3">
      <c r="A27" s="57" t="s">
        <v>57</v>
      </c>
    </row>
    <row r="28" spans="1:1" ht="18.75" x14ac:dyDescent="0.3">
      <c r="A28" s="57" t="s">
        <v>73</v>
      </c>
    </row>
    <row r="29" spans="1:1" ht="18.75" x14ac:dyDescent="0.3">
      <c r="A29" s="57" t="s">
        <v>74</v>
      </c>
    </row>
    <row r="30" spans="1:1" ht="18.75" x14ac:dyDescent="0.3">
      <c r="A30" s="57" t="s">
        <v>58</v>
      </c>
    </row>
    <row r="31" spans="1:1" ht="18.75" x14ac:dyDescent="0.3">
      <c r="A31" s="57" t="s">
        <v>232</v>
      </c>
    </row>
    <row r="32" spans="1:1" ht="18.75" x14ac:dyDescent="0.3">
      <c r="A32" s="57" t="s">
        <v>202</v>
      </c>
    </row>
    <row r="33" spans="1:1" ht="18.75" x14ac:dyDescent="0.3">
      <c r="A33" s="57" t="s">
        <v>75</v>
      </c>
    </row>
    <row r="34" spans="1:1" ht="18.75" x14ac:dyDescent="0.3">
      <c r="A34" s="57" t="s">
        <v>17</v>
      </c>
    </row>
    <row r="35" spans="1:1" ht="18.75" x14ac:dyDescent="0.3">
      <c r="A35" s="57" t="s">
        <v>47</v>
      </c>
    </row>
    <row r="39" spans="1:1" x14ac:dyDescent="0.25">
      <c r="A39" s="12"/>
    </row>
  </sheetData>
  <sortState ref="A2:A35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5"/>
  <sheetViews>
    <sheetView workbookViewId="0">
      <selection activeCell="B14" sqref="B14"/>
    </sheetView>
  </sheetViews>
  <sheetFormatPr defaultColWidth="9.140625" defaultRowHeight="15" x14ac:dyDescent="0.25"/>
  <cols>
    <col min="1" max="1" width="43.7109375" style="3" customWidth="1"/>
    <col min="2" max="2" width="54.28515625" style="3" customWidth="1"/>
    <col min="3" max="16384" width="9.140625" style="3"/>
  </cols>
  <sheetData>
    <row r="1" spans="1:4" ht="43.5" customHeight="1" x14ac:dyDescent="0.25">
      <c r="A1" s="67" t="s">
        <v>449</v>
      </c>
      <c r="B1" s="67"/>
    </row>
    <row r="2" spans="1:4" ht="18.75" x14ac:dyDescent="0.3">
      <c r="A2" s="56" t="s">
        <v>11</v>
      </c>
      <c r="B2" s="57" t="s">
        <v>360</v>
      </c>
    </row>
    <row r="3" spans="1:4" ht="18.75" x14ac:dyDescent="0.3">
      <c r="A3" s="56" t="s">
        <v>59</v>
      </c>
      <c r="B3" s="56" t="s">
        <v>13</v>
      </c>
    </row>
    <row r="4" spans="1:4" ht="18.75" x14ac:dyDescent="0.3">
      <c r="A4" s="56" t="s">
        <v>97</v>
      </c>
      <c r="B4" s="56" t="s">
        <v>16</v>
      </c>
    </row>
    <row r="5" spans="1:4" ht="18.75" x14ac:dyDescent="0.3">
      <c r="A5" s="56" t="s">
        <v>26</v>
      </c>
      <c r="B5" s="56" t="s">
        <v>63</v>
      </c>
    </row>
    <row r="6" spans="1:4" ht="18.75" x14ac:dyDescent="0.3">
      <c r="A6" s="56" t="s">
        <v>60</v>
      </c>
      <c r="B6" s="56" t="s">
        <v>39</v>
      </c>
    </row>
    <row r="7" spans="1:4" ht="18.75" x14ac:dyDescent="0.3">
      <c r="A7" s="56" t="s">
        <v>61</v>
      </c>
      <c r="B7" s="56" t="s">
        <v>9</v>
      </c>
    </row>
    <row r="8" spans="1:4" ht="18.75" x14ac:dyDescent="0.3">
      <c r="A8" s="56" t="s">
        <v>3</v>
      </c>
      <c r="B8" s="56" t="s">
        <v>14</v>
      </c>
    </row>
    <row r="9" spans="1:4" ht="18.75" x14ac:dyDescent="0.3">
      <c r="A9" s="57" t="s">
        <v>27</v>
      </c>
      <c r="B9" s="57" t="s">
        <v>15</v>
      </c>
    </row>
    <row r="10" spans="1:4" ht="18.75" x14ac:dyDescent="0.3">
      <c r="A10" s="57" t="s">
        <v>4</v>
      </c>
      <c r="B10" s="57" t="s">
        <v>62</v>
      </c>
      <c r="D10" s="3">
        <f>24/4</f>
        <v>6</v>
      </c>
    </row>
    <row r="11" spans="1:4" ht="18.75" x14ac:dyDescent="0.3">
      <c r="A11" s="57" t="s">
        <v>5</v>
      </c>
      <c r="B11" s="57" t="s">
        <v>17</v>
      </c>
    </row>
    <row r="12" spans="1:4" ht="18.75" x14ac:dyDescent="0.3">
      <c r="A12" s="57" t="s">
        <v>12</v>
      </c>
      <c r="B12" s="57" t="s">
        <v>18</v>
      </c>
    </row>
    <row r="13" spans="1:4" ht="18.75" x14ac:dyDescent="0.3">
      <c r="A13" s="55" t="s">
        <v>295</v>
      </c>
      <c r="B13" s="57" t="s">
        <v>19</v>
      </c>
    </row>
    <row r="14" spans="1:4" ht="18.75" x14ac:dyDescent="0.3">
      <c r="A14" s="9"/>
      <c r="B14" s="57" t="s">
        <v>64</v>
      </c>
    </row>
    <row r="15" spans="1:4" x14ac:dyDescent="0.25">
      <c r="A15" s="5"/>
      <c r="B15" s="6"/>
    </row>
    <row r="16" spans="1:4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</sheetData>
  <sortState ref="B3:B25">
    <sortCondition ref="B2"/>
  </sortState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46"/>
  <sheetViews>
    <sheetView workbookViewId="0"/>
  </sheetViews>
  <sheetFormatPr defaultRowHeight="15" x14ac:dyDescent="0.25"/>
  <cols>
    <col min="1" max="1" width="96.5703125" style="7" customWidth="1"/>
  </cols>
  <sheetData>
    <row r="1" spans="1:1" ht="42" customHeight="1" x14ac:dyDescent="0.25">
      <c r="A1" s="47" t="s">
        <v>299</v>
      </c>
    </row>
    <row r="2" spans="1:1" ht="18.75" x14ac:dyDescent="0.3">
      <c r="A2" s="56" t="s">
        <v>78</v>
      </c>
    </row>
    <row r="3" spans="1:1" ht="18.75" x14ac:dyDescent="0.3">
      <c r="A3" s="56" t="s">
        <v>237</v>
      </c>
    </row>
    <row r="4" spans="1:1" ht="18.75" x14ac:dyDescent="0.3">
      <c r="A4" s="56" t="s">
        <v>83</v>
      </c>
    </row>
    <row r="5" spans="1:1" ht="18.75" x14ac:dyDescent="0.3">
      <c r="A5" s="56" t="s">
        <v>48</v>
      </c>
    </row>
    <row r="6" spans="1:1" ht="18.75" x14ac:dyDescent="0.3">
      <c r="A6" s="56" t="s">
        <v>59</v>
      </c>
    </row>
    <row r="7" spans="1:1" ht="18.75" x14ac:dyDescent="0.3">
      <c r="A7" s="56" t="s">
        <v>235</v>
      </c>
    </row>
    <row r="8" spans="1:1" ht="18.75" x14ac:dyDescent="0.3">
      <c r="A8" s="56" t="s">
        <v>84</v>
      </c>
    </row>
    <row r="9" spans="1:1" ht="18.75" x14ac:dyDescent="0.3">
      <c r="A9" s="56" t="s">
        <v>2</v>
      </c>
    </row>
    <row r="10" spans="1:1" ht="18.75" x14ac:dyDescent="0.3">
      <c r="A10" s="57" t="s">
        <v>86</v>
      </c>
    </row>
    <row r="11" spans="1:1" ht="18.75" x14ac:dyDescent="0.3">
      <c r="A11" s="57" t="s">
        <v>81</v>
      </c>
    </row>
    <row r="12" spans="1:1" ht="18.75" x14ac:dyDescent="0.3">
      <c r="A12" s="57" t="s">
        <v>87</v>
      </c>
    </row>
    <row r="13" spans="1:1" ht="18.75" x14ac:dyDescent="0.3">
      <c r="A13" s="57" t="s">
        <v>88</v>
      </c>
    </row>
    <row r="14" spans="1:1" ht="18.75" x14ac:dyDescent="0.3">
      <c r="A14" s="57" t="s">
        <v>4</v>
      </c>
    </row>
    <row r="15" spans="1:1" ht="18.75" x14ac:dyDescent="0.3">
      <c r="A15" s="57" t="s">
        <v>465</v>
      </c>
    </row>
    <row r="16" spans="1:1" ht="18.75" x14ac:dyDescent="0.3">
      <c r="A16" s="57" t="s">
        <v>90</v>
      </c>
    </row>
    <row r="17" spans="1:1" ht="18.75" x14ac:dyDescent="0.3">
      <c r="A17" s="57" t="s">
        <v>234</v>
      </c>
    </row>
    <row r="18" spans="1:1" ht="18.75" x14ac:dyDescent="0.3">
      <c r="A18" s="56" t="s">
        <v>91</v>
      </c>
    </row>
    <row r="19" spans="1:1" ht="18.75" x14ac:dyDescent="0.3">
      <c r="A19" s="56" t="s">
        <v>82</v>
      </c>
    </row>
    <row r="20" spans="1:1" ht="18.75" x14ac:dyDescent="0.3">
      <c r="A20" s="56" t="s">
        <v>79</v>
      </c>
    </row>
    <row r="21" spans="1:1" ht="18.75" x14ac:dyDescent="0.3">
      <c r="A21" s="56" t="s">
        <v>92</v>
      </c>
    </row>
    <row r="22" spans="1:1" ht="18.75" x14ac:dyDescent="0.3">
      <c r="A22" s="56" t="s">
        <v>17</v>
      </c>
    </row>
    <row r="23" spans="1:1" ht="18.75" x14ac:dyDescent="0.3">
      <c r="A23" s="56" t="s">
        <v>93</v>
      </c>
    </row>
    <row r="24" spans="1:1" ht="18.75" x14ac:dyDescent="0.3">
      <c r="A24" s="56" t="s">
        <v>10</v>
      </c>
    </row>
    <row r="25" spans="1:1" ht="18.75" x14ac:dyDescent="0.3">
      <c r="A25" s="56" t="s">
        <v>94</v>
      </c>
    </row>
    <row r="26" spans="1:1" ht="18.75" x14ac:dyDescent="0.3">
      <c r="A26" s="57" t="s">
        <v>47</v>
      </c>
    </row>
    <row r="27" spans="1:1" ht="18.75" x14ac:dyDescent="0.3">
      <c r="A27" s="57" t="s">
        <v>45</v>
      </c>
    </row>
    <row r="28" spans="1:1" ht="18.75" x14ac:dyDescent="0.3">
      <c r="A28" s="57" t="s">
        <v>85</v>
      </c>
    </row>
    <row r="29" spans="1:1" ht="18.75" x14ac:dyDescent="0.3">
      <c r="A29" s="57" t="s">
        <v>80</v>
      </c>
    </row>
    <row r="30" spans="1:1" ht="18.75" x14ac:dyDescent="0.3">
      <c r="A30" s="57" t="s">
        <v>236</v>
      </c>
    </row>
    <row r="31" spans="1:1" x14ac:dyDescent="0.25">
      <c r="A31" s="48"/>
    </row>
    <row r="32" spans="1:1" x14ac:dyDescent="0.25">
      <c r="A32" s="49"/>
    </row>
    <row r="42" spans="1:1" x14ac:dyDescent="0.25">
      <c r="A42" s="8"/>
    </row>
    <row r="46" spans="1:1" x14ac:dyDescent="0.25">
      <c r="A46" s="8"/>
    </row>
  </sheetData>
  <sortState ref="A3:A31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47"/>
  <sheetViews>
    <sheetView workbookViewId="0">
      <selection activeCell="A17" sqref="A17"/>
    </sheetView>
  </sheetViews>
  <sheetFormatPr defaultRowHeight="15" x14ac:dyDescent="0.25"/>
  <cols>
    <col min="1" max="1" width="80" style="16" customWidth="1"/>
  </cols>
  <sheetData>
    <row r="1" spans="1:1" ht="36" customHeight="1" x14ac:dyDescent="0.25">
      <c r="A1" s="34" t="s">
        <v>286</v>
      </c>
    </row>
    <row r="2" spans="1:1" ht="18.75" x14ac:dyDescent="0.3">
      <c r="A2" s="56" t="s">
        <v>112</v>
      </c>
    </row>
    <row r="3" spans="1:1" ht="18.75" x14ac:dyDescent="0.3">
      <c r="A3" s="56" t="s">
        <v>0</v>
      </c>
    </row>
    <row r="4" spans="1:1" ht="18.75" x14ac:dyDescent="0.3">
      <c r="A4" s="56" t="s">
        <v>120</v>
      </c>
    </row>
    <row r="5" spans="1:1" ht="18.75" x14ac:dyDescent="0.3">
      <c r="A5" s="56" t="s">
        <v>119</v>
      </c>
    </row>
    <row r="6" spans="1:1" ht="18.75" x14ac:dyDescent="0.3">
      <c r="A6" s="14" t="s">
        <v>115</v>
      </c>
    </row>
    <row r="7" spans="1:1" ht="18.75" x14ac:dyDescent="0.3">
      <c r="A7" s="14" t="s">
        <v>53</v>
      </c>
    </row>
    <row r="8" spans="1:1" ht="18.75" x14ac:dyDescent="0.3">
      <c r="A8" s="14" t="s">
        <v>118</v>
      </c>
    </row>
    <row r="9" spans="1:1" ht="18.75" x14ac:dyDescent="0.3">
      <c r="A9" s="14" t="s">
        <v>194</v>
      </c>
    </row>
    <row r="10" spans="1:1" ht="18.75" x14ac:dyDescent="0.3">
      <c r="A10" s="56" t="s">
        <v>121</v>
      </c>
    </row>
    <row r="11" spans="1:1" ht="18.75" x14ac:dyDescent="0.3">
      <c r="A11" s="56" t="s">
        <v>116</v>
      </c>
    </row>
    <row r="12" spans="1:1" ht="18.75" x14ac:dyDescent="0.3">
      <c r="A12" s="56" t="s">
        <v>113</v>
      </c>
    </row>
    <row r="13" spans="1:1" ht="18.75" x14ac:dyDescent="0.3">
      <c r="A13" s="56" t="s">
        <v>114</v>
      </c>
    </row>
    <row r="14" spans="1:1" ht="18.75" x14ac:dyDescent="0.3">
      <c r="A14" s="14" t="s">
        <v>287</v>
      </c>
    </row>
    <row r="15" spans="1:1" ht="18.75" x14ac:dyDescent="0.3">
      <c r="A15" s="14" t="s">
        <v>123</v>
      </c>
    </row>
    <row r="16" spans="1:1" ht="18.75" x14ac:dyDescent="0.3">
      <c r="A16" s="14" t="s">
        <v>117</v>
      </c>
    </row>
    <row r="17" spans="1:1" ht="18.75" x14ac:dyDescent="0.3">
      <c r="A17" s="14" t="s">
        <v>122</v>
      </c>
    </row>
    <row r="43" spans="1:1" x14ac:dyDescent="0.25">
      <c r="A43" s="32" t="s">
        <v>294</v>
      </c>
    </row>
    <row r="47" spans="1:1" x14ac:dyDescent="0.25">
      <c r="A47" s="32"/>
    </row>
  </sheetData>
  <sortState ref="A3:A17">
    <sortCondition ref="A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34"/>
  <sheetViews>
    <sheetView workbookViewId="0">
      <selection activeCell="F4" sqref="F4"/>
    </sheetView>
  </sheetViews>
  <sheetFormatPr defaultRowHeight="18.75" x14ac:dyDescent="0.3"/>
  <cols>
    <col min="1" max="1" width="80" style="37" customWidth="1"/>
  </cols>
  <sheetData>
    <row r="1" spans="1:1" ht="26.25" x14ac:dyDescent="0.4">
      <c r="A1" s="35" t="s">
        <v>450</v>
      </c>
    </row>
    <row r="2" spans="1:1" x14ac:dyDescent="0.3">
      <c r="A2" s="56" t="s">
        <v>120</v>
      </c>
    </row>
    <row r="3" spans="1:1" x14ac:dyDescent="0.3">
      <c r="A3" s="56" t="s">
        <v>317</v>
      </c>
    </row>
    <row r="4" spans="1:1" x14ac:dyDescent="0.3">
      <c r="A4" s="56" t="s">
        <v>316</v>
      </c>
    </row>
    <row r="5" spans="1:1" x14ac:dyDescent="0.3">
      <c r="A5" s="56" t="s">
        <v>318</v>
      </c>
    </row>
    <row r="6" spans="1:1" x14ac:dyDescent="0.3">
      <c r="A6" s="56" t="s">
        <v>289</v>
      </c>
    </row>
    <row r="7" spans="1:1" x14ac:dyDescent="0.3">
      <c r="A7" s="56" t="s">
        <v>304</v>
      </c>
    </row>
    <row r="8" spans="1:1" x14ac:dyDescent="0.3">
      <c r="A8" s="56" t="s">
        <v>300</v>
      </c>
    </row>
    <row r="9" spans="1:1" x14ac:dyDescent="0.3">
      <c r="A9" s="56" t="s">
        <v>301</v>
      </c>
    </row>
    <row r="10" spans="1:1" x14ac:dyDescent="0.3">
      <c r="A10" s="57" t="s">
        <v>319</v>
      </c>
    </row>
    <row r="11" spans="1:1" x14ac:dyDescent="0.3">
      <c r="A11" s="57" t="s">
        <v>195</v>
      </c>
    </row>
    <row r="12" spans="1:1" x14ac:dyDescent="0.3">
      <c r="A12" s="57" t="s">
        <v>127</v>
      </c>
    </row>
    <row r="13" spans="1:1" x14ac:dyDescent="0.3">
      <c r="A13" s="57" t="s">
        <v>302</v>
      </c>
    </row>
    <row r="14" spans="1:1" x14ac:dyDescent="0.3">
      <c r="A14" s="57" t="s">
        <v>320</v>
      </c>
    </row>
    <row r="15" spans="1:1" x14ac:dyDescent="0.3">
      <c r="A15" s="57" t="s">
        <v>125</v>
      </c>
    </row>
    <row r="16" spans="1:1" ht="17.25" customHeight="1" x14ac:dyDescent="0.3">
      <c r="A16" s="58" t="s">
        <v>297</v>
      </c>
    </row>
    <row r="17" spans="1:1" x14ac:dyDescent="0.3">
      <c r="A17" s="57" t="s">
        <v>305</v>
      </c>
    </row>
    <row r="18" spans="1:1" x14ac:dyDescent="0.3">
      <c r="A18" s="56" t="s">
        <v>303</v>
      </c>
    </row>
    <row r="19" spans="1:1" x14ac:dyDescent="0.3">
      <c r="A19" s="56" t="s">
        <v>124</v>
      </c>
    </row>
    <row r="20" spans="1:1" x14ac:dyDescent="0.3">
      <c r="A20" s="56" t="s">
        <v>321</v>
      </c>
    </row>
    <row r="21" spans="1:1" x14ac:dyDescent="0.3">
      <c r="A21" s="56" t="s">
        <v>306</v>
      </c>
    </row>
    <row r="22" spans="1:1" x14ac:dyDescent="0.3">
      <c r="A22" s="56" t="s">
        <v>307</v>
      </c>
    </row>
    <row r="23" spans="1:1" x14ac:dyDescent="0.3">
      <c r="A23" s="56" t="s">
        <v>308</v>
      </c>
    </row>
    <row r="24" spans="1:1" x14ac:dyDescent="0.3">
      <c r="A24" s="56" t="s">
        <v>315</v>
      </c>
    </row>
    <row r="25" spans="1:1" x14ac:dyDescent="0.3">
      <c r="A25" s="56" t="s">
        <v>309</v>
      </c>
    </row>
    <row r="26" spans="1:1" x14ac:dyDescent="0.3">
      <c r="A26" s="33" t="s">
        <v>310</v>
      </c>
    </row>
    <row r="27" spans="1:1" x14ac:dyDescent="0.3">
      <c r="A27" s="33" t="s">
        <v>314</v>
      </c>
    </row>
    <row r="28" spans="1:1" x14ac:dyDescent="0.3">
      <c r="A28" s="33" t="s">
        <v>311</v>
      </c>
    </row>
    <row r="29" spans="1:1" x14ac:dyDescent="0.3">
      <c r="A29" s="33" t="s">
        <v>312</v>
      </c>
    </row>
    <row r="30" spans="1:1" x14ac:dyDescent="0.3">
      <c r="A30" s="33" t="s">
        <v>114</v>
      </c>
    </row>
    <row r="31" spans="1:1" x14ac:dyDescent="0.3">
      <c r="A31" s="33" t="s">
        <v>117</v>
      </c>
    </row>
    <row r="32" spans="1:1" x14ac:dyDescent="0.3">
      <c r="A32" s="33" t="s">
        <v>126</v>
      </c>
    </row>
    <row r="33" spans="1:1" x14ac:dyDescent="0.3">
      <c r="A33" s="33" t="s">
        <v>313</v>
      </c>
    </row>
    <row r="34" spans="1:1" x14ac:dyDescent="0.25">
      <c r="A34" s="36"/>
    </row>
  </sheetData>
  <sortState ref="A3:A34">
    <sortCondition ref="A3"/>
  </sortState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47"/>
  <sheetViews>
    <sheetView workbookViewId="0">
      <selection activeCell="B13" sqref="B13"/>
    </sheetView>
  </sheetViews>
  <sheetFormatPr defaultRowHeight="15" x14ac:dyDescent="0.25"/>
  <cols>
    <col min="1" max="1" width="80" style="16" customWidth="1"/>
  </cols>
  <sheetData>
    <row r="1" spans="1:2" ht="27" thickBot="1" x14ac:dyDescent="0.3">
      <c r="A1" s="38" t="s">
        <v>451</v>
      </c>
    </row>
    <row r="2" spans="1:2" ht="26.25" x14ac:dyDescent="0.3">
      <c r="A2" s="56" t="s">
        <v>161</v>
      </c>
      <c r="B2" s="2"/>
    </row>
    <row r="3" spans="1:2" ht="18.75" x14ac:dyDescent="0.3">
      <c r="A3" s="56" t="s">
        <v>162</v>
      </c>
    </row>
    <row r="4" spans="1:2" ht="18.75" x14ac:dyDescent="0.3">
      <c r="A4" s="56" t="s">
        <v>163</v>
      </c>
    </row>
    <row r="5" spans="1:2" ht="18.75" x14ac:dyDescent="0.3">
      <c r="A5" s="56" t="s">
        <v>164</v>
      </c>
    </row>
    <row r="6" spans="1:2" ht="18.75" x14ac:dyDescent="0.3">
      <c r="A6" s="56" t="s">
        <v>165</v>
      </c>
    </row>
    <row r="7" spans="1:2" ht="18.75" x14ac:dyDescent="0.3">
      <c r="A7" s="56" t="s">
        <v>178</v>
      </c>
    </row>
    <row r="8" spans="1:2" ht="18.75" x14ac:dyDescent="0.3">
      <c r="A8" s="57" t="s">
        <v>166</v>
      </c>
    </row>
    <row r="9" spans="1:2" ht="18.75" x14ac:dyDescent="0.3">
      <c r="A9" s="57" t="s">
        <v>167</v>
      </c>
    </row>
    <row r="10" spans="1:2" ht="18.75" x14ac:dyDescent="0.3">
      <c r="A10" s="57" t="s">
        <v>168</v>
      </c>
    </row>
    <row r="11" spans="1:2" ht="18.75" x14ac:dyDescent="0.3">
      <c r="A11" s="57" t="s">
        <v>169</v>
      </c>
    </row>
    <row r="12" spans="1:2" ht="18.75" x14ac:dyDescent="0.3">
      <c r="A12" s="57" t="s">
        <v>170</v>
      </c>
    </row>
    <row r="13" spans="1:2" ht="18.75" x14ac:dyDescent="0.3">
      <c r="A13" s="54" t="s">
        <v>292</v>
      </c>
    </row>
    <row r="14" spans="1:2" ht="18.75" x14ac:dyDescent="0.3">
      <c r="A14" s="56" t="s">
        <v>173</v>
      </c>
    </row>
    <row r="15" spans="1:2" ht="18.75" x14ac:dyDescent="0.3">
      <c r="A15" s="56" t="s">
        <v>293</v>
      </c>
    </row>
    <row r="16" spans="1:2" ht="18.75" x14ac:dyDescent="0.3">
      <c r="A16" s="56" t="s">
        <v>291</v>
      </c>
    </row>
    <row r="17" spans="1:1" ht="18.75" x14ac:dyDescent="0.3">
      <c r="A17" s="56" t="s">
        <v>290</v>
      </c>
    </row>
    <row r="18" spans="1:1" ht="18.75" x14ac:dyDescent="0.3">
      <c r="A18" s="56" t="s">
        <v>174</v>
      </c>
    </row>
    <row r="19" spans="1:1" ht="18.75" x14ac:dyDescent="0.3">
      <c r="A19" s="14" t="s">
        <v>171</v>
      </c>
    </row>
    <row r="20" spans="1:1" ht="18.75" x14ac:dyDescent="0.3">
      <c r="A20" s="14" t="s">
        <v>172</v>
      </c>
    </row>
    <row r="21" spans="1:1" ht="18.75" x14ac:dyDescent="0.3">
      <c r="A21" s="14" t="s">
        <v>175</v>
      </c>
    </row>
    <row r="22" spans="1:1" ht="18.75" x14ac:dyDescent="0.3">
      <c r="A22" s="14" t="s">
        <v>176</v>
      </c>
    </row>
    <row r="23" spans="1:1" ht="18.75" x14ac:dyDescent="0.3">
      <c r="A23" s="14" t="s">
        <v>177</v>
      </c>
    </row>
    <row r="43" spans="1:1" x14ac:dyDescent="0.25">
      <c r="A43" s="15" t="s">
        <v>294</v>
      </c>
    </row>
    <row r="47" spans="1:1" x14ac:dyDescent="0.25">
      <c r="A47" s="15"/>
    </row>
  </sheetData>
  <sortState ref="A3:A23">
    <sortCondition ref="A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7"/>
  <sheetViews>
    <sheetView workbookViewId="0">
      <selection activeCell="A15" sqref="A15"/>
    </sheetView>
  </sheetViews>
  <sheetFormatPr defaultColWidth="8.85546875" defaultRowHeight="15" x14ac:dyDescent="0.25"/>
  <cols>
    <col min="1" max="1" width="80" style="18" customWidth="1"/>
    <col min="2" max="16384" width="8.85546875" style="3"/>
  </cols>
  <sheetData>
    <row r="1" spans="1:1" ht="33.6" customHeight="1" x14ac:dyDescent="0.25">
      <c r="A1" s="40" t="s">
        <v>452</v>
      </c>
    </row>
    <row r="2" spans="1:1" ht="18.75" x14ac:dyDescent="0.3">
      <c r="A2" s="56" t="s">
        <v>179</v>
      </c>
    </row>
    <row r="3" spans="1:1" ht="18.75" x14ac:dyDescent="0.3">
      <c r="A3" s="56" t="s">
        <v>183</v>
      </c>
    </row>
    <row r="4" spans="1:1" ht="18.75" x14ac:dyDescent="0.3">
      <c r="A4" s="56" t="s">
        <v>28</v>
      </c>
    </row>
    <row r="5" spans="1:1" ht="18.75" x14ac:dyDescent="0.3">
      <c r="A5" s="56" t="s">
        <v>184</v>
      </c>
    </row>
    <row r="6" spans="1:1" ht="18.75" x14ac:dyDescent="0.3">
      <c r="A6" s="57" t="s">
        <v>181</v>
      </c>
    </row>
    <row r="7" spans="1:1" ht="18.75" x14ac:dyDescent="0.3">
      <c r="A7" s="57" t="s">
        <v>180</v>
      </c>
    </row>
    <row r="8" spans="1:1" ht="18.75" x14ac:dyDescent="0.3">
      <c r="A8" s="57" t="s">
        <v>325</v>
      </c>
    </row>
    <row r="9" spans="1:1" ht="18.75" x14ac:dyDescent="0.3">
      <c r="A9" s="57" t="s">
        <v>323</v>
      </c>
    </row>
    <row r="10" spans="1:1" ht="18.75" x14ac:dyDescent="0.3">
      <c r="A10" s="56" t="s">
        <v>324</v>
      </c>
    </row>
    <row r="11" spans="1:1" ht="18.75" x14ac:dyDescent="0.3">
      <c r="A11" s="56" t="s">
        <v>326</v>
      </c>
    </row>
    <row r="12" spans="1:1" ht="18.75" x14ac:dyDescent="0.3">
      <c r="A12" s="56" t="s">
        <v>322</v>
      </c>
    </row>
    <row r="13" spans="1:1" ht="18.75" x14ac:dyDescent="0.3">
      <c r="A13" s="17" t="s">
        <v>182</v>
      </c>
    </row>
    <row r="14" spans="1:1" ht="18.75" x14ac:dyDescent="0.3">
      <c r="A14" s="17" t="s">
        <v>327</v>
      </c>
    </row>
    <row r="15" spans="1:1" ht="18.75" x14ac:dyDescent="0.3">
      <c r="A15" s="17" t="s">
        <v>18</v>
      </c>
    </row>
    <row r="17" spans="7:7" x14ac:dyDescent="0.25">
      <c r="G17" s="39"/>
    </row>
  </sheetData>
  <sortState ref="A3:A15">
    <sortCondition ref="A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35"/>
  <sheetViews>
    <sheetView workbookViewId="0">
      <selection activeCell="D30" sqref="D30"/>
    </sheetView>
  </sheetViews>
  <sheetFormatPr defaultRowHeight="18.75" x14ac:dyDescent="0.3"/>
  <cols>
    <col min="1" max="1" width="72" style="19" customWidth="1"/>
  </cols>
  <sheetData>
    <row r="1" spans="1:1" s="20" customFormat="1" ht="37.9" customHeight="1" x14ac:dyDescent="0.45">
      <c r="A1" s="41" t="s">
        <v>359</v>
      </c>
    </row>
    <row r="2" spans="1:1" x14ac:dyDescent="0.3">
      <c r="A2" s="59" t="s">
        <v>185</v>
      </c>
    </row>
    <row r="3" spans="1:1" x14ac:dyDescent="0.3">
      <c r="A3" s="59" t="s">
        <v>330</v>
      </c>
    </row>
    <row r="4" spans="1:1" x14ac:dyDescent="0.3">
      <c r="A4" s="59" t="s">
        <v>331</v>
      </c>
    </row>
    <row r="5" spans="1:1" x14ac:dyDescent="0.3">
      <c r="A5" s="59" t="s">
        <v>332</v>
      </c>
    </row>
    <row r="6" spans="1:1" x14ac:dyDescent="0.3">
      <c r="A6" s="59" t="s">
        <v>333</v>
      </c>
    </row>
    <row r="7" spans="1:1" x14ac:dyDescent="0.3">
      <c r="A7" s="59" t="s">
        <v>334</v>
      </c>
    </row>
    <row r="8" spans="1:1" x14ac:dyDescent="0.3">
      <c r="A8" s="59" t="s">
        <v>188</v>
      </c>
    </row>
    <row r="9" spans="1:1" x14ac:dyDescent="0.3">
      <c r="A9" s="59" t="s">
        <v>335</v>
      </c>
    </row>
    <row r="10" spans="1:1" x14ac:dyDescent="0.3">
      <c r="A10" s="59" t="s">
        <v>336</v>
      </c>
    </row>
    <row r="11" spans="1:1" x14ac:dyDescent="0.3">
      <c r="A11" s="60" t="s">
        <v>337</v>
      </c>
    </row>
    <row r="12" spans="1:1" x14ac:dyDescent="0.3">
      <c r="A12" s="60" t="s">
        <v>338</v>
      </c>
    </row>
    <row r="13" spans="1:1" x14ac:dyDescent="0.3">
      <c r="A13" s="60" t="s">
        <v>187</v>
      </c>
    </row>
    <row r="14" spans="1:1" x14ac:dyDescent="0.3">
      <c r="A14" s="60" t="s">
        <v>339</v>
      </c>
    </row>
    <row r="15" spans="1:1" x14ac:dyDescent="0.3">
      <c r="A15" s="60" t="s">
        <v>340</v>
      </c>
    </row>
    <row r="16" spans="1:1" x14ac:dyDescent="0.3">
      <c r="A16" s="60" t="s">
        <v>341</v>
      </c>
    </row>
    <row r="17" spans="1:1" x14ac:dyDescent="0.3">
      <c r="A17" s="60" t="s">
        <v>186</v>
      </c>
    </row>
    <row r="18" spans="1:1" x14ac:dyDescent="0.3">
      <c r="A18" s="60" t="s">
        <v>186</v>
      </c>
    </row>
    <row r="19" spans="1:1" x14ac:dyDescent="0.3">
      <c r="A19" s="60" t="s">
        <v>342</v>
      </c>
    </row>
    <row r="20" spans="1:1" x14ac:dyDescent="0.3">
      <c r="A20" s="59" t="s">
        <v>343</v>
      </c>
    </row>
    <row r="21" spans="1:1" x14ac:dyDescent="0.3">
      <c r="A21" s="59" t="s">
        <v>344</v>
      </c>
    </row>
    <row r="22" spans="1:1" x14ac:dyDescent="0.3">
      <c r="A22" s="59" t="s">
        <v>345</v>
      </c>
    </row>
    <row r="23" spans="1:1" x14ac:dyDescent="0.3">
      <c r="A23" s="59" t="s">
        <v>346</v>
      </c>
    </row>
    <row r="24" spans="1:1" x14ac:dyDescent="0.3">
      <c r="A24" s="59" t="s">
        <v>347</v>
      </c>
    </row>
    <row r="25" spans="1:1" x14ac:dyDescent="0.3">
      <c r="A25" s="59" t="s">
        <v>348</v>
      </c>
    </row>
    <row r="26" spans="1:1" x14ac:dyDescent="0.3">
      <c r="A26" s="59" t="s">
        <v>349</v>
      </c>
    </row>
    <row r="27" spans="1:1" x14ac:dyDescent="0.3">
      <c r="A27" s="59" t="s">
        <v>350</v>
      </c>
    </row>
    <row r="28" spans="1:1" x14ac:dyDescent="0.3">
      <c r="A28" s="59" t="s">
        <v>351</v>
      </c>
    </row>
    <row r="29" spans="1:1" x14ac:dyDescent="0.3">
      <c r="A29" s="19" t="s">
        <v>352</v>
      </c>
    </row>
    <row r="30" spans="1:1" x14ac:dyDescent="0.3">
      <c r="A30" s="19" t="s">
        <v>353</v>
      </c>
    </row>
    <row r="31" spans="1:1" x14ac:dyDescent="0.3">
      <c r="A31" s="19" t="s">
        <v>354</v>
      </c>
    </row>
    <row r="32" spans="1:1" x14ac:dyDescent="0.3">
      <c r="A32" s="19" t="s">
        <v>355</v>
      </c>
    </row>
    <row r="33" spans="1:1" x14ac:dyDescent="0.3">
      <c r="A33" s="19" t="s">
        <v>356</v>
      </c>
    </row>
    <row r="34" spans="1:1" x14ac:dyDescent="0.3">
      <c r="A34" s="19" t="s">
        <v>357</v>
      </c>
    </row>
    <row r="35" spans="1:1" x14ac:dyDescent="0.3">
      <c r="A35" s="19" t="s">
        <v>358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68"/>
  <sheetViews>
    <sheetView tabSelected="1" workbookViewId="0">
      <selection activeCell="C65" sqref="C65"/>
    </sheetView>
  </sheetViews>
  <sheetFormatPr defaultRowHeight="17.45" customHeight="1" x14ac:dyDescent="0.25"/>
  <cols>
    <col min="1" max="3" width="34.42578125" customWidth="1"/>
  </cols>
  <sheetData>
    <row r="1" spans="1:7" s="42" customFormat="1" ht="41.45" customHeight="1" x14ac:dyDescent="0.25">
      <c r="A1" s="68" t="s">
        <v>453</v>
      </c>
      <c r="B1" s="68"/>
      <c r="C1" s="68"/>
    </row>
    <row r="2" spans="1:7" ht="17.45" customHeight="1" x14ac:dyDescent="0.25">
      <c r="A2" s="61" t="s">
        <v>361</v>
      </c>
      <c r="B2" s="62" t="s">
        <v>445</v>
      </c>
      <c r="C2" s="61" t="s">
        <v>443</v>
      </c>
      <c r="F2">
        <f>194-(F3*3)</f>
        <v>47</v>
      </c>
    </row>
    <row r="3" spans="1:7" ht="17.45" customHeight="1" x14ac:dyDescent="0.25">
      <c r="A3" s="61" t="s">
        <v>442</v>
      </c>
      <c r="B3" s="62" t="s">
        <v>362</v>
      </c>
      <c r="C3" s="61" t="s">
        <v>458</v>
      </c>
      <c r="E3">
        <f>194/4</f>
        <v>48.5</v>
      </c>
      <c r="F3">
        <v>49</v>
      </c>
    </row>
    <row r="4" spans="1:7" ht="17.45" customHeight="1" x14ac:dyDescent="0.25">
      <c r="A4" s="61" t="s">
        <v>83</v>
      </c>
      <c r="B4" s="62" t="s">
        <v>364</v>
      </c>
      <c r="C4" s="61" t="s">
        <v>459</v>
      </c>
      <c r="F4">
        <v>49</v>
      </c>
    </row>
    <row r="5" spans="1:7" ht="17.45" customHeight="1" x14ac:dyDescent="0.25">
      <c r="A5" s="61" t="s">
        <v>0</v>
      </c>
      <c r="B5" s="62" t="s">
        <v>135</v>
      </c>
      <c r="C5" s="61" t="s">
        <v>363</v>
      </c>
      <c r="F5">
        <v>49</v>
      </c>
    </row>
    <row r="6" spans="1:7" ht="17.45" customHeight="1" x14ac:dyDescent="0.25">
      <c r="A6" s="61" t="s">
        <v>190</v>
      </c>
      <c r="B6" s="62" t="s">
        <v>136</v>
      </c>
      <c r="C6" s="61" t="s">
        <v>365</v>
      </c>
    </row>
    <row r="7" spans="1:7" ht="17.45" customHeight="1" x14ac:dyDescent="0.25">
      <c r="A7" s="61" t="s">
        <v>381</v>
      </c>
      <c r="B7" s="62" t="s">
        <v>71</v>
      </c>
      <c r="C7" s="61" t="s">
        <v>366</v>
      </c>
    </row>
    <row r="8" spans="1:7" ht="17.45" customHeight="1" x14ac:dyDescent="0.25">
      <c r="A8" s="61" t="s">
        <v>78</v>
      </c>
      <c r="B8" s="62" t="s">
        <v>87</v>
      </c>
      <c r="C8" s="61" t="s">
        <v>92</v>
      </c>
    </row>
    <row r="9" spans="1:7" ht="17.45" customHeight="1" x14ac:dyDescent="0.25">
      <c r="A9" s="61" t="s">
        <v>48</v>
      </c>
      <c r="B9" s="62" t="s">
        <v>368</v>
      </c>
      <c r="C9" s="61" t="s">
        <v>376</v>
      </c>
    </row>
    <row r="10" spans="1:7" ht="17.45" customHeight="1" x14ac:dyDescent="0.25">
      <c r="A10" s="61" t="s">
        <v>96</v>
      </c>
      <c r="B10" s="62" t="s">
        <v>370</v>
      </c>
      <c r="C10" s="61" t="s">
        <v>369</v>
      </c>
      <c r="F10">
        <f>19+30</f>
        <v>49</v>
      </c>
    </row>
    <row r="11" spans="1:7" ht="17.45" customHeight="1" x14ac:dyDescent="0.25">
      <c r="A11" s="61" t="s">
        <v>120</v>
      </c>
      <c r="B11" s="62" t="s">
        <v>372</v>
      </c>
      <c r="C11" s="61" t="s">
        <v>203</v>
      </c>
      <c r="G11">
        <f>15+34</f>
        <v>49</v>
      </c>
    </row>
    <row r="12" spans="1:7" ht="17.45" customHeight="1" x14ac:dyDescent="0.25">
      <c r="A12" s="61" t="s">
        <v>371</v>
      </c>
      <c r="B12" s="62" t="s">
        <v>373</v>
      </c>
      <c r="C12" s="61" t="s">
        <v>182</v>
      </c>
    </row>
    <row r="13" spans="1:7" ht="17.45" customHeight="1" x14ac:dyDescent="0.25">
      <c r="A13" s="61" t="s">
        <v>21</v>
      </c>
      <c r="B13" s="62" t="s">
        <v>375</v>
      </c>
      <c r="C13" s="61" t="s">
        <v>42</v>
      </c>
    </row>
    <row r="14" spans="1:7" ht="17.45" customHeight="1" x14ac:dyDescent="0.25">
      <c r="A14" s="61" t="s">
        <v>22</v>
      </c>
      <c r="B14" s="62" t="s">
        <v>52</v>
      </c>
      <c r="C14" s="61" t="s">
        <v>377</v>
      </c>
    </row>
    <row r="15" spans="1:7" ht="17.45" customHeight="1" x14ac:dyDescent="0.25">
      <c r="A15" s="61" t="s">
        <v>378</v>
      </c>
      <c r="B15" s="62" t="s">
        <v>379</v>
      </c>
      <c r="C15" s="61" t="s">
        <v>380</v>
      </c>
    </row>
    <row r="16" spans="1:7" ht="17.45" customHeight="1" x14ac:dyDescent="0.25">
      <c r="A16" s="61" t="s">
        <v>23</v>
      </c>
      <c r="B16" s="62" t="s">
        <v>456</v>
      </c>
      <c r="C16" s="61" t="s">
        <v>145</v>
      </c>
    </row>
    <row r="17" spans="1:3" ht="17.45" customHeight="1" x14ac:dyDescent="0.25">
      <c r="A17" s="61" t="s">
        <v>59</v>
      </c>
      <c r="B17" s="62" t="s">
        <v>5</v>
      </c>
      <c r="C17" s="61" t="s">
        <v>14</v>
      </c>
    </row>
    <row r="18" spans="1:3" ht="17.45" customHeight="1" x14ac:dyDescent="0.25">
      <c r="A18" s="61" t="s">
        <v>383</v>
      </c>
      <c r="B18" s="62" t="s">
        <v>36</v>
      </c>
      <c r="C18" s="61" t="s">
        <v>367</v>
      </c>
    </row>
    <row r="19" spans="1:3" ht="17.45" customHeight="1" x14ac:dyDescent="0.25">
      <c r="A19" s="61" t="s">
        <v>385</v>
      </c>
      <c r="B19" s="62" t="s">
        <v>384</v>
      </c>
      <c r="C19" s="63" t="s">
        <v>382</v>
      </c>
    </row>
    <row r="20" spans="1:3" ht="17.45" customHeight="1" x14ac:dyDescent="0.25">
      <c r="A20" s="61" t="s">
        <v>192</v>
      </c>
      <c r="B20" s="62" t="s">
        <v>140</v>
      </c>
      <c r="C20" s="63" t="s">
        <v>386</v>
      </c>
    </row>
    <row r="21" spans="1:3" ht="17.45" customHeight="1" x14ac:dyDescent="0.25">
      <c r="A21" s="61" t="s">
        <v>97</v>
      </c>
      <c r="B21" s="62" t="s">
        <v>387</v>
      </c>
      <c r="C21" s="63" t="s">
        <v>219</v>
      </c>
    </row>
    <row r="22" spans="1:3" ht="17.45" customHeight="1" x14ac:dyDescent="0.25">
      <c r="A22" s="61" t="s">
        <v>390</v>
      </c>
      <c r="B22" s="62" t="s">
        <v>388</v>
      </c>
      <c r="C22" s="63" t="s">
        <v>389</v>
      </c>
    </row>
    <row r="23" spans="1:3" ht="17.45" customHeight="1" x14ac:dyDescent="0.25">
      <c r="A23" s="61" t="s">
        <v>98</v>
      </c>
      <c r="B23" s="62" t="s">
        <v>303</v>
      </c>
      <c r="C23" s="63" t="s">
        <v>392</v>
      </c>
    </row>
    <row r="24" spans="1:3" ht="17.45" customHeight="1" x14ac:dyDescent="0.25">
      <c r="A24" s="61" t="s">
        <v>26</v>
      </c>
      <c r="B24" s="62" t="s">
        <v>6</v>
      </c>
      <c r="C24" s="63" t="s">
        <v>104</v>
      </c>
    </row>
    <row r="25" spans="1:3" ht="17.45" customHeight="1" x14ac:dyDescent="0.25">
      <c r="A25" s="61" t="s">
        <v>128</v>
      </c>
      <c r="B25" s="62" t="s">
        <v>391</v>
      </c>
      <c r="C25" s="63" t="s">
        <v>374</v>
      </c>
    </row>
    <row r="26" spans="1:3" ht="17.45" customHeight="1" x14ac:dyDescent="0.25">
      <c r="A26" s="61" t="s">
        <v>235</v>
      </c>
      <c r="B26" s="62" t="s">
        <v>90</v>
      </c>
      <c r="C26" s="63" t="s">
        <v>202</v>
      </c>
    </row>
    <row r="27" spans="1:3" ht="17.45" customHeight="1" x14ac:dyDescent="0.25">
      <c r="A27" s="61" t="s">
        <v>60</v>
      </c>
      <c r="B27" s="62" t="s">
        <v>37</v>
      </c>
      <c r="C27" s="63" t="s">
        <v>175</v>
      </c>
    </row>
    <row r="28" spans="1:3" ht="17.45" customHeight="1" x14ac:dyDescent="0.25">
      <c r="A28" s="61" t="s">
        <v>61</v>
      </c>
      <c r="B28" s="62" t="s">
        <v>393</v>
      </c>
      <c r="C28" s="63" t="s">
        <v>394</v>
      </c>
    </row>
    <row r="29" spans="1:3" ht="17.45" customHeight="1" x14ac:dyDescent="0.25">
      <c r="A29" s="61" t="s">
        <v>28</v>
      </c>
      <c r="B29" s="62" t="s">
        <v>7</v>
      </c>
      <c r="C29" s="63" t="s">
        <v>209</v>
      </c>
    </row>
    <row r="30" spans="1:3" ht="17.45" customHeight="1" x14ac:dyDescent="0.25">
      <c r="A30" s="61" t="s">
        <v>188</v>
      </c>
      <c r="B30" s="62" t="s">
        <v>395</v>
      </c>
      <c r="C30" s="63" t="s">
        <v>148</v>
      </c>
    </row>
    <row r="31" spans="1:3" ht="17.45" customHeight="1" x14ac:dyDescent="0.25">
      <c r="A31" s="61" t="s">
        <v>230</v>
      </c>
      <c r="B31" s="62" t="s">
        <v>396</v>
      </c>
      <c r="C31" s="63" t="s">
        <v>149</v>
      </c>
    </row>
    <row r="32" spans="1:3" ht="17.45" customHeight="1" x14ac:dyDescent="0.25">
      <c r="A32" s="61" t="s">
        <v>84</v>
      </c>
      <c r="B32" s="62" t="s">
        <v>398</v>
      </c>
      <c r="C32" s="63" t="s">
        <v>397</v>
      </c>
    </row>
    <row r="33" spans="1:3" ht="17.45" customHeight="1" x14ac:dyDescent="0.25">
      <c r="A33" s="61" t="s">
        <v>403</v>
      </c>
      <c r="B33" s="62" t="s">
        <v>234</v>
      </c>
      <c r="C33" s="63" t="s">
        <v>151</v>
      </c>
    </row>
    <row r="34" spans="1:3" ht="17.45" customHeight="1" x14ac:dyDescent="0.25">
      <c r="A34" s="61" t="s">
        <v>404</v>
      </c>
      <c r="B34" s="62" t="s">
        <v>457</v>
      </c>
      <c r="C34" s="63" t="s">
        <v>399</v>
      </c>
    </row>
    <row r="35" spans="1:3" ht="17.45" customHeight="1" x14ac:dyDescent="0.25">
      <c r="A35" s="61" t="s">
        <v>405</v>
      </c>
      <c r="B35" s="62" t="s">
        <v>401</v>
      </c>
      <c r="C35" s="63" t="s">
        <v>400</v>
      </c>
    </row>
    <row r="36" spans="1:3" ht="17.45" customHeight="1" x14ac:dyDescent="0.25">
      <c r="A36" s="61" t="s">
        <v>8</v>
      </c>
      <c r="B36" s="61" t="s">
        <v>225</v>
      </c>
      <c r="C36" s="63" t="s">
        <v>113</v>
      </c>
    </row>
    <row r="37" spans="1:3" ht="17.45" customHeight="1" x14ac:dyDescent="0.25">
      <c r="A37" s="61" t="s">
        <v>3</v>
      </c>
      <c r="B37" s="61" t="s">
        <v>38</v>
      </c>
      <c r="C37" s="63" t="s">
        <v>402</v>
      </c>
    </row>
    <row r="38" spans="1:3" ht="17.45" customHeight="1" x14ac:dyDescent="0.25">
      <c r="A38" s="61" t="s">
        <v>210</v>
      </c>
      <c r="B38" s="61" t="s">
        <v>118</v>
      </c>
      <c r="C38" s="63" t="s">
        <v>198</v>
      </c>
    </row>
    <row r="39" spans="1:3" ht="17.45" customHeight="1" x14ac:dyDescent="0.25">
      <c r="A39" s="61" t="s">
        <v>409</v>
      </c>
      <c r="B39" s="61" t="s">
        <v>194</v>
      </c>
      <c r="C39" s="63" t="s">
        <v>213</v>
      </c>
    </row>
    <row r="40" spans="1:3" ht="17.45" customHeight="1" x14ac:dyDescent="0.25">
      <c r="A40" s="61" t="s">
        <v>27</v>
      </c>
      <c r="B40" s="61" t="s">
        <v>39</v>
      </c>
      <c r="C40" s="63" t="s">
        <v>114</v>
      </c>
    </row>
    <row r="41" spans="1:3" ht="17.45" customHeight="1" x14ac:dyDescent="0.25">
      <c r="A41" s="61" t="s">
        <v>454</v>
      </c>
      <c r="B41" s="61" t="s">
        <v>40</v>
      </c>
      <c r="C41" s="63" t="s">
        <v>406</v>
      </c>
    </row>
    <row r="42" spans="1:3" ht="17.45" customHeight="1" x14ac:dyDescent="0.25">
      <c r="A42" s="61" t="s">
        <v>411</v>
      </c>
      <c r="B42" s="61" t="s">
        <v>407</v>
      </c>
      <c r="C42" s="63" t="s">
        <v>408</v>
      </c>
    </row>
    <row r="43" spans="1:3" ht="17.45" customHeight="1" x14ac:dyDescent="0.25">
      <c r="A43" s="61" t="s">
        <v>49</v>
      </c>
      <c r="B43" s="61" t="s">
        <v>141</v>
      </c>
      <c r="C43" s="63" t="s">
        <v>201</v>
      </c>
    </row>
    <row r="44" spans="1:3" ht="17.45" customHeight="1" x14ac:dyDescent="0.25">
      <c r="A44" s="61" t="s">
        <v>455</v>
      </c>
      <c r="B44" s="61" t="s">
        <v>412</v>
      </c>
      <c r="C44" s="63" t="s">
        <v>18</v>
      </c>
    </row>
    <row r="45" spans="1:3" ht="17.45" customHeight="1" x14ac:dyDescent="0.25">
      <c r="A45" s="61" t="s">
        <v>415</v>
      </c>
      <c r="B45" s="61" t="s">
        <v>91</v>
      </c>
      <c r="C45" s="63" t="s">
        <v>410</v>
      </c>
    </row>
    <row r="46" spans="1:3" ht="17.45" customHeight="1" x14ac:dyDescent="0.25">
      <c r="A46" s="61" t="s">
        <v>185</v>
      </c>
      <c r="B46" s="61" t="s">
        <v>414</v>
      </c>
      <c r="C46" s="63" t="s">
        <v>413</v>
      </c>
    </row>
    <row r="47" spans="1:3" ht="17.45" customHeight="1" x14ac:dyDescent="0.25">
      <c r="A47" s="61" t="s">
        <v>130</v>
      </c>
      <c r="B47" s="61" t="s">
        <v>142</v>
      </c>
      <c r="C47" s="63" t="s">
        <v>123</v>
      </c>
    </row>
    <row r="48" spans="1:3" ht="17.45" customHeight="1" x14ac:dyDescent="0.25">
      <c r="A48" s="61" t="s">
        <v>101</v>
      </c>
      <c r="B48" s="61" t="s">
        <v>56</v>
      </c>
      <c r="C48" s="63" t="s">
        <v>117</v>
      </c>
    </row>
    <row r="49" spans="1:6" ht="17.45" customHeight="1" x14ac:dyDescent="0.25">
      <c r="A49" s="61" t="s">
        <v>418</v>
      </c>
      <c r="B49" s="61" t="s">
        <v>227</v>
      </c>
      <c r="C49" s="63" t="s">
        <v>206</v>
      </c>
    </row>
    <row r="50" spans="1:6" ht="17.45" customHeight="1" x14ac:dyDescent="0.25">
      <c r="A50" s="61" t="s">
        <v>419</v>
      </c>
      <c r="B50" s="61" t="s">
        <v>214</v>
      </c>
      <c r="C50" s="63" t="s">
        <v>416</v>
      </c>
    </row>
    <row r="51" spans="1:6" ht="17.45" customHeight="1" x14ac:dyDescent="0.25">
      <c r="A51" s="62" t="s">
        <v>420</v>
      </c>
      <c r="B51" s="61" t="s">
        <v>57</v>
      </c>
      <c r="C51" s="63" t="s">
        <v>417</v>
      </c>
    </row>
    <row r="52" spans="1:6" ht="17.45" customHeight="1" x14ac:dyDescent="0.25">
      <c r="A52" s="62" t="s">
        <v>422</v>
      </c>
      <c r="B52" s="61" t="s">
        <v>41</v>
      </c>
      <c r="C52" s="63" t="s">
        <v>460</v>
      </c>
    </row>
    <row r="53" spans="1:6" ht="17.45" customHeight="1" x14ac:dyDescent="0.25">
      <c r="A53" s="62" t="s">
        <v>424</v>
      </c>
      <c r="B53" s="61" t="s">
        <v>421</v>
      </c>
      <c r="C53" s="63" t="s">
        <v>94</v>
      </c>
    </row>
    <row r="54" spans="1:6" ht="17.45" customHeight="1" x14ac:dyDescent="0.25">
      <c r="A54" s="62" t="s">
        <v>426</v>
      </c>
      <c r="B54" s="61" t="s">
        <v>423</v>
      </c>
      <c r="C54" s="63" t="s">
        <v>47</v>
      </c>
    </row>
    <row r="55" spans="1:6" ht="17.45" customHeight="1" x14ac:dyDescent="0.25">
      <c r="A55" s="62" t="s">
        <v>99</v>
      </c>
      <c r="B55" s="61" t="s">
        <v>425</v>
      </c>
      <c r="C55" s="63" t="s">
        <v>276</v>
      </c>
    </row>
    <row r="56" spans="1:6" ht="17.45" customHeight="1" x14ac:dyDescent="0.25">
      <c r="A56" s="62" t="s">
        <v>429</v>
      </c>
      <c r="B56" s="61" t="s">
        <v>427</v>
      </c>
      <c r="C56" s="63" t="s">
        <v>19</v>
      </c>
    </row>
    <row r="57" spans="1:6" ht="17.45" customHeight="1" x14ac:dyDescent="0.25">
      <c r="A57" s="62" t="s">
        <v>102</v>
      </c>
      <c r="B57" s="61" t="s">
        <v>215</v>
      </c>
      <c r="C57" s="63" t="s">
        <v>428</v>
      </c>
    </row>
    <row r="58" spans="1:6" ht="17.45" customHeight="1" x14ac:dyDescent="0.25">
      <c r="A58" s="62" t="s">
        <v>430</v>
      </c>
      <c r="B58" s="61" t="s">
        <v>218</v>
      </c>
      <c r="C58" s="63" t="s">
        <v>85</v>
      </c>
    </row>
    <row r="59" spans="1:6" ht="17.45" customHeight="1" x14ac:dyDescent="0.25">
      <c r="A59" s="62" t="s">
        <v>432</v>
      </c>
      <c r="B59" s="61" t="s">
        <v>431</v>
      </c>
      <c r="C59" s="63" t="s">
        <v>177</v>
      </c>
      <c r="F59" s="22"/>
    </row>
    <row r="60" spans="1:6" ht="17.45" customHeight="1" x14ac:dyDescent="0.25">
      <c r="A60" s="62" t="s">
        <v>434</v>
      </c>
      <c r="B60" s="61" t="s">
        <v>73</v>
      </c>
      <c r="C60" s="63" t="s">
        <v>126</v>
      </c>
    </row>
    <row r="61" spans="1:6" ht="17.45" customHeight="1" x14ac:dyDescent="0.25">
      <c r="A61" s="62" t="s">
        <v>437</v>
      </c>
      <c r="B61" s="61" t="s">
        <v>435</v>
      </c>
      <c r="C61" s="63" t="s">
        <v>433</v>
      </c>
    </row>
    <row r="62" spans="1:6" ht="17.45" customHeight="1" x14ac:dyDescent="0.25">
      <c r="A62" s="62" t="s">
        <v>133</v>
      </c>
      <c r="B62" s="61" t="s">
        <v>438</v>
      </c>
      <c r="C62" s="63" t="s">
        <v>436</v>
      </c>
    </row>
    <row r="63" spans="1:6" ht="17.45" customHeight="1" x14ac:dyDescent="0.25">
      <c r="A63" s="62" t="s">
        <v>440</v>
      </c>
      <c r="B63" s="61" t="s">
        <v>439</v>
      </c>
      <c r="C63" s="63" t="s">
        <v>223</v>
      </c>
    </row>
    <row r="64" spans="1:6" ht="17.45" customHeight="1" x14ac:dyDescent="0.25">
      <c r="A64" s="62" t="s">
        <v>176</v>
      </c>
      <c r="B64" s="61" t="s">
        <v>121</v>
      </c>
      <c r="C64" s="63" t="s">
        <v>156</v>
      </c>
    </row>
    <row r="65" spans="1:3" ht="17.45" customHeight="1" x14ac:dyDescent="0.25">
      <c r="A65" s="62" t="s">
        <v>444</v>
      </c>
      <c r="B65" s="61" t="s">
        <v>116</v>
      </c>
      <c r="C65" s="63" t="s">
        <v>157</v>
      </c>
    </row>
    <row r="66" spans="1:3" ht="17.45" customHeight="1" x14ac:dyDescent="0.25">
      <c r="B66" s="61" t="s">
        <v>441</v>
      </c>
    </row>
    <row r="67" spans="1:3" ht="17.45" customHeight="1" x14ac:dyDescent="0.25">
      <c r="B67" s="61" t="s">
        <v>217</v>
      </c>
    </row>
    <row r="68" spans="1:3" ht="17.45" customHeight="1" x14ac:dyDescent="0.25">
      <c r="B68" s="21"/>
    </row>
  </sheetData>
  <sortState ref="C2:C69">
    <sortCondition ref="C2"/>
  </sortState>
  <mergeCells count="1">
    <mergeCell ref="A1:C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Fragrances &amp; Flavours</vt:lpstr>
      <vt:lpstr>Cosmetic Healthcare</vt:lpstr>
      <vt:lpstr>API Formulation</vt:lpstr>
      <vt:lpstr>Paint Resin Polym Dye</vt:lpstr>
      <vt:lpstr>Food &amp; Fert</vt:lpstr>
      <vt:lpstr>Textile Auxilary</vt:lpstr>
      <vt:lpstr>Maintainence</vt:lpstr>
      <vt:lpstr>Water</vt:lpstr>
      <vt:lpstr>MISC</vt:lpstr>
      <vt:lpstr>PVC</vt:lpstr>
      <vt:lpstr>Oil</vt:lpstr>
      <vt:lpstr>general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2015-04-26T13:01:52Z</dcterms:modified>
</cp:coreProperties>
</file>